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aNSiC\Downloads\"/>
    </mc:Choice>
  </mc:AlternateContent>
  <xr:revisionPtr revIDLastSave="0" documentId="13_ncr:1_{AE9FF57D-1782-4D17-8A2C-2D071393F4A4}" xr6:coauthVersionLast="47" xr6:coauthVersionMax="47" xr10:uidLastSave="{00000000-0000-0000-0000-000000000000}"/>
  <bookViews>
    <workbookView xWindow="-120" yWindow="-120" windowWidth="29040" windowHeight="15720" tabRatio="798" xr2:uid="{00000000-000D-0000-FFFF-FFFF00000000}"/>
  </bookViews>
  <sheets>
    <sheet name="개요" sheetId="1" r:id="rId1"/>
    <sheet name="요약" sheetId="2" r:id="rId2"/>
    <sheet name="가정" sheetId="3" r:id="rId3"/>
    <sheet name="과거재무제표" sheetId="4" r:id="rId4"/>
    <sheet name="매출액추정" sheetId="5" r:id="rId5"/>
    <sheet name="영업실적추정" sheetId="6" r:id="rId6"/>
    <sheet name="NWC" sheetId="7" r:id="rId7"/>
    <sheet name="Capex_D&amp;A" sheetId="8" r:id="rId8"/>
    <sheet name="WACC" sheetId="9" r:id="rId9"/>
    <sheet name="DCF" sheetId="10" r:id="rId10"/>
    <sheet name="기업가치_지분가치" sheetId="11" r:id="rId11"/>
    <sheet name="민감도분석" sheetId="12" r:id="rId12"/>
    <sheet name="검증" sheetId="13" r:id="rId13"/>
    <sheet name="출처" sheetId="14" r:id="rId14"/>
    <sheet name="FDD 조정"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15" l="1"/>
  <c r="E69" i="15" s="1"/>
  <c r="E67" i="15"/>
  <c r="E66" i="15"/>
  <c r="C65" i="15"/>
  <c r="E65" i="15" s="1"/>
  <c r="C14" i="11" s="1"/>
  <c r="C64" i="15"/>
  <c r="E64" i="15" s="1"/>
  <c r="C13" i="11" s="1"/>
  <c r="C63" i="15"/>
  <c r="E63" i="15" s="1"/>
  <c r="C12" i="11" s="1"/>
  <c r="C62" i="15"/>
  <c r="E62" i="15" s="1"/>
  <c r="E55" i="15"/>
  <c r="E54" i="15"/>
  <c r="E53" i="15"/>
  <c r="E52" i="15"/>
  <c r="C51" i="15"/>
  <c r="E51" i="15" s="1"/>
  <c r="C50" i="15"/>
  <c r="E50" i="15" s="1"/>
  <c r="C49" i="15"/>
  <c r="E49" i="15" s="1"/>
  <c r="C46" i="15"/>
  <c r="E46" i="15" s="1"/>
  <c r="C45" i="15"/>
  <c r="E45" i="15" s="1"/>
  <c r="C44" i="15"/>
  <c r="E44" i="15" s="1"/>
  <c r="C43" i="15"/>
  <c r="E43" i="15" s="1"/>
  <c r="C42" i="15"/>
  <c r="E42" i="15" s="1"/>
  <c r="E29" i="15"/>
  <c r="E28" i="15"/>
  <c r="D28" i="15"/>
  <c r="C28" i="15"/>
  <c r="E27" i="15"/>
  <c r="D27" i="15"/>
  <c r="C27" i="15"/>
  <c r="E26" i="15"/>
  <c r="D26" i="15"/>
  <c r="C26" i="15"/>
  <c r="E25" i="15"/>
  <c r="D25" i="15"/>
  <c r="C25" i="15"/>
  <c r="E24" i="15"/>
  <c r="E30" i="15" s="1"/>
  <c r="D24" i="15"/>
  <c r="D30" i="15" s="1"/>
  <c r="D31" i="15" s="1"/>
  <c r="C24" i="15"/>
  <c r="E23" i="15"/>
  <c r="D23" i="15"/>
  <c r="C23" i="15"/>
  <c r="E18" i="15"/>
  <c r="D18" i="15"/>
  <c r="C18" i="15"/>
  <c r="E6" i="15"/>
  <c r="D6" i="15"/>
  <c r="D13" i="15" s="1"/>
  <c r="D14" i="15" s="1"/>
  <c r="C6" i="15"/>
  <c r="C13" i="15" s="1"/>
  <c r="C14" i="15" s="1"/>
  <c r="D20" i="13"/>
  <c r="C11" i="13"/>
  <c r="E11" i="13" s="1"/>
  <c r="G11" i="13" s="1"/>
  <c r="C10" i="13"/>
  <c r="E10" i="13" s="1"/>
  <c r="G10" i="13" s="1"/>
  <c r="C9" i="13"/>
  <c r="E9" i="13" s="1"/>
  <c r="G9" i="13" s="1"/>
  <c r="C8" i="13"/>
  <c r="E8" i="13" s="1"/>
  <c r="G8" i="13" s="1"/>
  <c r="C7" i="13"/>
  <c r="E7" i="13" s="1"/>
  <c r="G7" i="13" s="1"/>
  <c r="C6" i="13"/>
  <c r="E6" i="13" s="1"/>
  <c r="G6" i="13" s="1"/>
  <c r="C30" i="11"/>
  <c r="C13" i="2" s="1"/>
  <c r="C28" i="11"/>
  <c r="C11" i="2" s="1"/>
  <c r="C22" i="11"/>
  <c r="C16" i="11"/>
  <c r="C15" i="11"/>
  <c r="C34" i="10"/>
  <c r="C24" i="10"/>
  <c r="G9" i="10"/>
  <c r="F9" i="10"/>
  <c r="E9" i="10"/>
  <c r="D9" i="10"/>
  <c r="C9" i="10"/>
  <c r="C18" i="9"/>
  <c r="C17" i="9"/>
  <c r="C19" i="9" s="1"/>
  <c r="C14" i="13" s="1"/>
  <c r="E14" i="13" s="1"/>
  <c r="G14" i="13" s="1"/>
  <c r="C13" i="9"/>
  <c r="C12" i="9"/>
  <c r="C14" i="9" s="1"/>
  <c r="C8" i="9"/>
  <c r="C7" i="9"/>
  <c r="C6" i="9"/>
  <c r="C5" i="9"/>
  <c r="C9" i="9" s="1"/>
  <c r="C20" i="9" s="1"/>
  <c r="F18" i="8"/>
  <c r="G18" i="8" s="1"/>
  <c r="H18" i="8" s="1"/>
  <c r="I18" i="8" s="1"/>
  <c r="J18" i="8" s="1"/>
  <c r="J14" i="8"/>
  <c r="I14" i="8"/>
  <c r="H14" i="8"/>
  <c r="G14" i="8"/>
  <c r="F14" i="8"/>
  <c r="E11" i="8"/>
  <c r="D11" i="8"/>
  <c r="C11" i="8"/>
  <c r="E10" i="8"/>
  <c r="E12" i="8" s="1"/>
  <c r="E15" i="8" s="1"/>
  <c r="D10" i="8"/>
  <c r="D12" i="8" s="1"/>
  <c r="D15" i="8" s="1"/>
  <c r="C10" i="8"/>
  <c r="C12" i="8" s="1"/>
  <c r="C15" i="8" s="1"/>
  <c r="J9" i="8"/>
  <c r="I9" i="8"/>
  <c r="H9" i="8"/>
  <c r="G9" i="8"/>
  <c r="F9" i="8"/>
  <c r="E8" i="8"/>
  <c r="E9" i="8" s="1"/>
  <c r="D8" i="8"/>
  <c r="D9" i="8" s="1"/>
  <c r="C8" i="8"/>
  <c r="C9" i="8" s="1"/>
  <c r="E7" i="8"/>
  <c r="D7" i="8"/>
  <c r="C7" i="8"/>
  <c r="J18" i="7"/>
  <c r="I18" i="7"/>
  <c r="H18" i="7"/>
  <c r="G18" i="7"/>
  <c r="F18" i="7"/>
  <c r="E17" i="7"/>
  <c r="D17" i="7"/>
  <c r="C17" i="7"/>
  <c r="J16" i="7"/>
  <c r="I16" i="7"/>
  <c r="H16" i="7"/>
  <c r="G16" i="7"/>
  <c r="F16" i="7"/>
  <c r="E15" i="7"/>
  <c r="D15" i="7"/>
  <c r="C15" i="7"/>
  <c r="J14" i="7"/>
  <c r="I14" i="7"/>
  <c r="H14" i="7"/>
  <c r="G14" i="7"/>
  <c r="F14" i="7"/>
  <c r="E13" i="7"/>
  <c r="E14" i="7" s="1"/>
  <c r="E25" i="3" s="1"/>
  <c r="D13" i="7"/>
  <c r="D14" i="7" s="1"/>
  <c r="D25" i="3" s="1"/>
  <c r="C13" i="7"/>
  <c r="C14" i="7" s="1"/>
  <c r="C25" i="3" s="1"/>
  <c r="J12" i="7"/>
  <c r="I12" i="7"/>
  <c r="H12" i="7"/>
  <c r="G12" i="7"/>
  <c r="F12" i="7"/>
  <c r="E11" i="7"/>
  <c r="D11" i="7"/>
  <c r="C11" i="7"/>
  <c r="J10" i="7"/>
  <c r="I10" i="7"/>
  <c r="H10" i="7"/>
  <c r="G10" i="7"/>
  <c r="F10" i="7"/>
  <c r="E9" i="7"/>
  <c r="E10" i="7" s="1"/>
  <c r="E22" i="3" s="1"/>
  <c r="D9" i="7"/>
  <c r="D10" i="7" s="1"/>
  <c r="D22" i="3" s="1"/>
  <c r="C9" i="7"/>
  <c r="C10" i="7" s="1"/>
  <c r="C22" i="3" s="1"/>
  <c r="E7" i="7"/>
  <c r="D7" i="7"/>
  <c r="C7" i="7"/>
  <c r="J22" i="6"/>
  <c r="I22" i="6"/>
  <c r="H22" i="6"/>
  <c r="G22" i="6"/>
  <c r="F22" i="6"/>
  <c r="E19" i="6"/>
  <c r="D19" i="6"/>
  <c r="C19" i="6"/>
  <c r="E17" i="6"/>
  <c r="D17" i="6"/>
  <c r="C17" i="6"/>
  <c r="E15" i="6"/>
  <c r="E16" i="6" s="1"/>
  <c r="D15" i="6"/>
  <c r="D16" i="6" s="1"/>
  <c r="C15" i="6"/>
  <c r="C16" i="6" s="1"/>
  <c r="E13" i="6"/>
  <c r="E14" i="6" s="1"/>
  <c r="D13" i="6"/>
  <c r="D14" i="6" s="1"/>
  <c r="C13" i="6"/>
  <c r="C14" i="6" s="1"/>
  <c r="E11" i="6"/>
  <c r="E12" i="6" s="1"/>
  <c r="D11" i="6"/>
  <c r="D12" i="6" s="1"/>
  <c r="C11" i="6"/>
  <c r="C12" i="6" s="1"/>
  <c r="E9" i="6"/>
  <c r="D9" i="6"/>
  <c r="C9" i="6"/>
  <c r="E7" i="6"/>
  <c r="E8" i="6" s="1"/>
  <c r="D7" i="6"/>
  <c r="D8" i="6" s="1"/>
  <c r="C7" i="6"/>
  <c r="E13" i="5"/>
  <c r="D13" i="5"/>
  <c r="C13" i="5"/>
  <c r="C15" i="5" s="1"/>
  <c r="J12" i="5"/>
  <c r="I12" i="5"/>
  <c r="H12" i="5"/>
  <c r="G12" i="5"/>
  <c r="F12" i="5"/>
  <c r="E11" i="5"/>
  <c r="D11" i="5"/>
  <c r="J10" i="5"/>
  <c r="I10" i="5"/>
  <c r="H10" i="5"/>
  <c r="G10" i="5"/>
  <c r="F10" i="5"/>
  <c r="E9" i="5"/>
  <c r="D9" i="5"/>
  <c r="J8" i="5"/>
  <c r="I8" i="5"/>
  <c r="H8" i="5"/>
  <c r="G8" i="5"/>
  <c r="F8" i="5"/>
  <c r="E7" i="5"/>
  <c r="D7" i="5"/>
  <c r="F74" i="4"/>
  <c r="E74" i="4"/>
  <c r="D74" i="4"/>
  <c r="F67" i="4"/>
  <c r="E67" i="4"/>
  <c r="D67" i="4"/>
  <c r="F62" i="4"/>
  <c r="E62" i="4"/>
  <c r="D62" i="4"/>
  <c r="F30" i="4"/>
  <c r="E18" i="3" s="1"/>
  <c r="E30" i="4"/>
  <c r="D18" i="3" s="1"/>
  <c r="D30" i="4"/>
  <c r="C18" i="3" s="1"/>
  <c r="F24" i="4"/>
  <c r="E24" i="4"/>
  <c r="D24" i="4"/>
  <c r="F23" i="4"/>
  <c r="H8" i="2" s="1"/>
  <c r="E23" i="4"/>
  <c r="D23" i="4"/>
  <c r="F22" i="4"/>
  <c r="E22" i="4"/>
  <c r="D22" i="4"/>
  <c r="F21" i="4"/>
  <c r="E21" i="4"/>
  <c r="F19" i="4"/>
  <c r="E19" i="4"/>
  <c r="D19" i="4"/>
  <c r="E17" i="3"/>
  <c r="D17" i="3"/>
  <c r="C17" i="3"/>
  <c r="E15" i="3"/>
  <c r="D15" i="3"/>
  <c r="C15" i="3"/>
  <c r="E14" i="3"/>
  <c r="D14" i="3"/>
  <c r="C14" i="3"/>
  <c r="E13" i="3"/>
  <c r="D13" i="3"/>
  <c r="C13" i="3"/>
  <c r="E10" i="3"/>
  <c r="D10" i="3"/>
  <c r="E9" i="3"/>
  <c r="E8" i="3"/>
  <c r="E7" i="3"/>
  <c r="B31" i="2"/>
  <c r="B30" i="2"/>
  <c r="B29" i="2"/>
  <c r="B28" i="2"/>
  <c r="B27" i="2"/>
  <c r="G26" i="2"/>
  <c r="F26" i="2"/>
  <c r="E26" i="2"/>
  <c r="D26" i="2"/>
  <c r="C26" i="2"/>
  <c r="B26" i="2"/>
  <c r="E47" i="15" l="1"/>
  <c r="C8" i="11" s="1"/>
  <c r="E56" i="15"/>
  <c r="C30" i="15"/>
  <c r="C31" i="15" s="1"/>
  <c r="C8" i="2"/>
  <c r="I28" i="15"/>
  <c r="C21" i="11"/>
  <c r="C11" i="11"/>
  <c r="E68" i="15"/>
  <c r="E31" i="15"/>
  <c r="E32" i="15" s="1"/>
  <c r="E33" i="15" s="1"/>
  <c r="E34" i="15"/>
  <c r="I22" i="15"/>
  <c r="E13" i="15"/>
  <c r="H5" i="2"/>
  <c r="C17" i="10"/>
  <c r="D17" i="10"/>
  <c r="E17" i="10"/>
  <c r="F17" i="10"/>
  <c r="G17" i="10"/>
  <c r="C23" i="10"/>
  <c r="C20" i="13"/>
  <c r="E16" i="8"/>
  <c r="E17" i="8"/>
  <c r="D16" i="8"/>
  <c r="D17" i="8"/>
  <c r="C16" i="8"/>
  <c r="C17" i="8"/>
  <c r="E19" i="7"/>
  <c r="E18" i="7"/>
  <c r="E26" i="3" s="1"/>
  <c r="D18" i="7"/>
  <c r="D26" i="3" s="1"/>
  <c r="D19" i="7"/>
  <c r="C19" i="7"/>
  <c r="C20" i="7" s="1"/>
  <c r="C18" i="7"/>
  <c r="C26" i="3" s="1"/>
  <c r="E20" i="6"/>
  <c r="E21" i="6" s="1"/>
  <c r="E18" i="6"/>
  <c r="D18" i="6"/>
  <c r="D20" i="6"/>
  <c r="D21" i="6" s="1"/>
  <c r="C18" i="6"/>
  <c r="C20" i="6"/>
  <c r="C21" i="6" s="1"/>
  <c r="E8" i="7"/>
  <c r="E10" i="6"/>
  <c r="D10" i="6"/>
  <c r="D8" i="7"/>
  <c r="C8" i="7"/>
  <c r="C10" i="6"/>
  <c r="E14" i="5"/>
  <c r="E15" i="5"/>
  <c r="C13" i="13" s="1"/>
  <c r="E13" i="13" s="1"/>
  <c r="G13" i="13" s="1"/>
  <c r="D14" i="5"/>
  <c r="D15" i="5"/>
  <c r="C12" i="13" s="1"/>
  <c r="E12" i="13" s="1"/>
  <c r="G12" i="13" s="1"/>
  <c r="E12" i="5"/>
  <c r="F11" i="5"/>
  <c r="G11" i="5" s="1"/>
  <c r="H11" i="5" s="1"/>
  <c r="I11" i="5" s="1"/>
  <c r="J11" i="5" s="1"/>
  <c r="E10" i="5"/>
  <c r="F9" i="5"/>
  <c r="G9" i="5" s="1"/>
  <c r="H9" i="5" s="1"/>
  <c r="I9" i="5" s="1"/>
  <c r="J9" i="5" s="1"/>
  <c r="E8" i="5"/>
  <c r="F7" i="5"/>
  <c r="E22" i="6"/>
  <c r="E16" i="3"/>
  <c r="D16" i="3"/>
  <c r="D22" i="6"/>
  <c r="C22" i="6"/>
  <c r="C16" i="3"/>
  <c r="E35" i="15" l="1"/>
  <c r="E57" i="15"/>
  <c r="C9" i="11"/>
  <c r="C7" i="2"/>
  <c r="I27" i="15"/>
  <c r="E14" i="15"/>
  <c r="I23" i="15"/>
  <c r="I24" i="15"/>
  <c r="C16" i="13"/>
  <c r="E16" i="13" s="1"/>
  <c r="G16" i="13" s="1"/>
  <c r="H6" i="2"/>
  <c r="H7" i="2"/>
  <c r="E20" i="13"/>
  <c r="G20" i="13"/>
  <c r="E21" i="7"/>
  <c r="E20" i="7"/>
  <c r="D21" i="7"/>
  <c r="D20" i="7"/>
  <c r="E12" i="7"/>
  <c r="E23" i="3" s="1"/>
  <c r="E16" i="7"/>
  <c r="E24" i="3" s="1"/>
  <c r="D12" i="7"/>
  <c r="D23" i="3" s="1"/>
  <c r="D16" i="7"/>
  <c r="D24" i="3" s="1"/>
  <c r="C12" i="7"/>
  <c r="C23" i="3" s="1"/>
  <c r="C16" i="7"/>
  <c r="C24" i="3" s="1"/>
  <c r="G7" i="5"/>
  <c r="F13" i="5"/>
  <c r="E37" i="15" l="1"/>
  <c r="E70" i="15" s="1"/>
  <c r="I26" i="15"/>
  <c r="I25" i="15"/>
  <c r="C10" i="11"/>
  <c r="C17" i="13"/>
  <c r="E17" i="13" s="1"/>
  <c r="G17" i="13" s="1"/>
  <c r="H7" i="5"/>
  <c r="G13" i="5"/>
  <c r="F14" i="5"/>
  <c r="F10" i="3" s="1"/>
  <c r="F7" i="6"/>
  <c r="E71" i="15" l="1"/>
  <c r="C9" i="2"/>
  <c r="C20" i="11"/>
  <c r="C23" i="11" s="1"/>
  <c r="C17" i="11"/>
  <c r="C26" i="11" s="1"/>
  <c r="C6" i="2"/>
  <c r="I7" i="5"/>
  <c r="H13" i="5"/>
  <c r="G14" i="5"/>
  <c r="G10" i="3" s="1"/>
  <c r="G7" i="6"/>
  <c r="F8" i="6"/>
  <c r="F9" i="6"/>
  <c r="F11" i="6"/>
  <c r="F13" i="6"/>
  <c r="F14" i="6" s="1"/>
  <c r="F15" i="6"/>
  <c r="F16" i="6" s="1"/>
  <c r="G17" i="15"/>
  <c r="F7" i="7"/>
  <c r="F7" i="8"/>
  <c r="C7" i="10"/>
  <c r="I29" i="15" l="1"/>
  <c r="C18" i="13"/>
  <c r="E18" i="13" s="1"/>
  <c r="G18" i="13" s="1"/>
  <c r="J7" i="5"/>
  <c r="J13" i="5" s="1"/>
  <c r="I13" i="5"/>
  <c r="H14" i="5"/>
  <c r="H10" i="3" s="1"/>
  <c r="H7" i="6"/>
  <c r="G8" i="6"/>
  <c r="G9" i="6"/>
  <c r="G11" i="6"/>
  <c r="G13" i="6"/>
  <c r="G14" i="6" s="1"/>
  <c r="G15" i="6"/>
  <c r="G16" i="6" s="1"/>
  <c r="H17" i="15"/>
  <c r="G7" i="7"/>
  <c r="G7" i="8"/>
  <c r="D7" i="10"/>
  <c r="F10" i="6"/>
  <c r="F8" i="7"/>
  <c r="F12" i="6"/>
  <c r="F17" i="6"/>
  <c r="F9" i="7"/>
  <c r="F13" i="7"/>
  <c r="F17" i="7"/>
  <c r="F8" i="8"/>
  <c r="F13" i="8"/>
  <c r="F15" i="8" s="1"/>
  <c r="J14" i="5" l="1"/>
  <c r="J10" i="3" s="1"/>
  <c r="J7" i="6"/>
  <c r="I14" i="5"/>
  <c r="I10" i="3" s="1"/>
  <c r="I7" i="6"/>
  <c r="H8" i="6"/>
  <c r="H9" i="6"/>
  <c r="H11" i="6"/>
  <c r="H13" i="6"/>
  <c r="H14" i="6" s="1"/>
  <c r="H15" i="6"/>
  <c r="H16" i="6" s="1"/>
  <c r="I17" i="15"/>
  <c r="H7" i="7"/>
  <c r="E7" i="10"/>
  <c r="H7" i="8"/>
  <c r="G10" i="6"/>
  <c r="G8" i="7"/>
  <c r="G12" i="6"/>
  <c r="G17" i="6"/>
  <c r="G9" i="7"/>
  <c r="G13" i="7"/>
  <c r="G17" i="7"/>
  <c r="G8" i="8"/>
  <c r="G13" i="8"/>
  <c r="G15" i="8" s="1"/>
  <c r="F11" i="7"/>
  <c r="F15" i="7"/>
  <c r="F19" i="7" s="1"/>
  <c r="F18" i="6"/>
  <c r="F20" i="6"/>
  <c r="F21" i="6" s="1"/>
  <c r="C8" i="10"/>
  <c r="C12" i="10"/>
  <c r="F19" i="6"/>
  <c r="F17" i="8"/>
  <c r="C13" i="10"/>
  <c r="F16" i="8"/>
  <c r="J8" i="6" l="1"/>
  <c r="J9" i="6"/>
  <c r="J11" i="6"/>
  <c r="J13" i="6"/>
  <c r="J14" i="6" s="1"/>
  <c r="J15" i="6"/>
  <c r="J16" i="6" s="1"/>
  <c r="K17" i="15"/>
  <c r="J7" i="7"/>
  <c r="J7" i="8"/>
  <c r="G7" i="10"/>
  <c r="H9" i="2"/>
  <c r="I8" i="6"/>
  <c r="I9" i="6"/>
  <c r="I13" i="6"/>
  <c r="I14" i="6" s="1"/>
  <c r="I15" i="6"/>
  <c r="I16" i="6" s="1"/>
  <c r="J17" i="15"/>
  <c r="I11" i="6"/>
  <c r="I7" i="7"/>
  <c r="I7" i="8"/>
  <c r="F7" i="10"/>
  <c r="H10" i="6"/>
  <c r="H8" i="7"/>
  <c r="H12" i="6"/>
  <c r="H17" i="6"/>
  <c r="H9" i="7"/>
  <c r="H13" i="7"/>
  <c r="H17" i="7"/>
  <c r="H8" i="8"/>
  <c r="H13" i="8"/>
  <c r="H15" i="8" s="1"/>
  <c r="G11" i="7"/>
  <c r="G15" i="7"/>
  <c r="G19" i="7" s="1"/>
  <c r="G18" i="6"/>
  <c r="D8" i="10"/>
  <c r="D12" i="10"/>
  <c r="G19" i="6"/>
  <c r="G20" i="6" s="1"/>
  <c r="G21" i="6" s="1"/>
  <c r="G17" i="8"/>
  <c r="D13" i="10"/>
  <c r="G16" i="8"/>
  <c r="F21" i="7"/>
  <c r="C14" i="10" s="1"/>
  <c r="F20" i="7"/>
  <c r="C10" i="10"/>
  <c r="C11" i="10"/>
  <c r="C15" i="10" s="1"/>
  <c r="J10" i="6" l="1"/>
  <c r="J8" i="7"/>
  <c r="J12" i="6"/>
  <c r="J17" i="6"/>
  <c r="J9" i="7"/>
  <c r="J13" i="7"/>
  <c r="J17" i="7"/>
  <c r="J8" i="8"/>
  <c r="J13" i="8"/>
  <c r="J15" i="8" s="1"/>
  <c r="I10" i="6"/>
  <c r="I8" i="7"/>
  <c r="I17" i="6"/>
  <c r="I12" i="6"/>
  <c r="I9" i="7"/>
  <c r="I13" i="7"/>
  <c r="I17" i="7"/>
  <c r="I8" i="8"/>
  <c r="I13" i="8"/>
  <c r="I15" i="8" s="1"/>
  <c r="H11" i="7"/>
  <c r="H15" i="7"/>
  <c r="H19" i="7" s="1"/>
  <c r="H18" i="6"/>
  <c r="E8" i="10"/>
  <c r="E12" i="10"/>
  <c r="H19" i="6"/>
  <c r="H20" i="6" s="1"/>
  <c r="H21" i="6" s="1"/>
  <c r="H17" i="8"/>
  <c r="E13" i="10"/>
  <c r="H16" i="8"/>
  <c r="G20" i="7"/>
  <c r="G21" i="7"/>
  <c r="D14" i="10" s="1"/>
  <c r="D10" i="10"/>
  <c r="D11" i="10"/>
  <c r="D15" i="10" s="1"/>
  <c r="C18" i="10"/>
  <c r="C19" i="10"/>
  <c r="H11" i="2"/>
  <c r="J11" i="7" l="1"/>
  <c r="J15" i="7"/>
  <c r="J19" i="7" s="1"/>
  <c r="J18" i="6"/>
  <c r="H10" i="2" s="1"/>
  <c r="G8" i="10"/>
  <c r="G12" i="10"/>
  <c r="J19" i="6"/>
  <c r="J20" i="6" s="1"/>
  <c r="J17" i="8"/>
  <c r="J16" i="8"/>
  <c r="G13" i="10"/>
  <c r="I11" i="7"/>
  <c r="I15" i="7"/>
  <c r="I19" i="7" s="1"/>
  <c r="I18" i="6"/>
  <c r="I20" i="6"/>
  <c r="I21" i="6" s="1"/>
  <c r="F8" i="10"/>
  <c r="F12" i="10"/>
  <c r="I19" i="6"/>
  <c r="I17" i="8"/>
  <c r="F13" i="10"/>
  <c r="I16" i="8"/>
  <c r="H20" i="7"/>
  <c r="H21" i="7"/>
  <c r="E14" i="10" s="1"/>
  <c r="E10" i="10"/>
  <c r="E11" i="10"/>
  <c r="E15" i="10" s="1"/>
  <c r="D18" i="10"/>
  <c r="D19" i="10"/>
  <c r="J20" i="7" l="1"/>
  <c r="J21" i="7"/>
  <c r="G14" i="10" s="1"/>
  <c r="J21" i="6"/>
  <c r="C33" i="10"/>
  <c r="C35" i="10" s="1"/>
  <c r="C36" i="10" s="1"/>
  <c r="G10" i="10"/>
  <c r="G11" i="10"/>
  <c r="G15" i="10" s="1"/>
  <c r="I20" i="7"/>
  <c r="I21" i="7"/>
  <c r="F14" i="10" s="1"/>
  <c r="F10" i="10"/>
  <c r="F11" i="10" s="1"/>
  <c r="F15" i="10" s="1"/>
  <c r="E18" i="10"/>
  <c r="E19" i="10"/>
  <c r="E6" i="12" l="1"/>
  <c r="E27" i="2" s="1"/>
  <c r="G18" i="10"/>
  <c r="G19" i="10"/>
  <c r="C25" i="10"/>
  <c r="C26" i="10" s="1"/>
  <c r="C27" i="10" s="1"/>
  <c r="H12" i="2"/>
  <c r="F7" i="12"/>
  <c r="F28" i="2" s="1"/>
  <c r="D7" i="12"/>
  <c r="D28" i="2" s="1"/>
  <c r="G7" i="12"/>
  <c r="G28" i="2" s="1"/>
  <c r="C6" i="12"/>
  <c r="C27" i="2" s="1"/>
  <c r="G6" i="12"/>
  <c r="G27" i="2" s="1"/>
  <c r="E7" i="12"/>
  <c r="E28" i="2" s="1"/>
  <c r="C7" i="12"/>
  <c r="C28" i="2" s="1"/>
  <c r="F6" i="12"/>
  <c r="F27" i="2" s="1"/>
  <c r="C8" i="12"/>
  <c r="C29" i="2" s="1"/>
  <c r="F18" i="10"/>
  <c r="F19" i="10"/>
  <c r="D8" i="12"/>
  <c r="D29" i="2" s="1"/>
  <c r="E8" i="12"/>
  <c r="E29" i="2" s="1"/>
  <c r="F8" i="12"/>
  <c r="F29" i="2" s="1"/>
  <c r="G8" i="12"/>
  <c r="G29" i="2" s="1"/>
  <c r="C9" i="12"/>
  <c r="C30" i="2" s="1"/>
  <c r="D9" i="12"/>
  <c r="D30" i="2" s="1"/>
  <c r="E9" i="12"/>
  <c r="E30" i="2" s="1"/>
  <c r="F9" i="12"/>
  <c r="F30" i="2" s="1"/>
  <c r="G9" i="12"/>
  <c r="G30" i="2" s="1"/>
  <c r="C10" i="12"/>
  <c r="C31" i="2" s="1"/>
  <c r="D10" i="12"/>
  <c r="D31" i="2" s="1"/>
  <c r="E10" i="12"/>
  <c r="E31" i="2" s="1"/>
  <c r="F10" i="12"/>
  <c r="F31" i="2" s="1"/>
  <c r="G10" i="12"/>
  <c r="G31" i="2" s="1"/>
  <c r="C22" i="13"/>
  <c r="D6" i="12"/>
  <c r="D27" i="2" s="1"/>
  <c r="C28" i="10" l="1"/>
  <c r="C37" i="10" s="1"/>
  <c r="C29" i="10"/>
  <c r="C30" i="10" s="1"/>
  <c r="G22" i="13"/>
  <c r="E22" i="13"/>
  <c r="C5" i="11" l="1"/>
  <c r="C15" i="13"/>
  <c r="E15" i="13" s="1"/>
  <c r="G15" i="13" s="1"/>
  <c r="H13" i="2"/>
  <c r="C21" i="13"/>
  <c r="H14" i="2"/>
  <c r="C27" i="11" l="1"/>
  <c r="C5" i="2"/>
  <c r="E21" i="13"/>
  <c r="G21" i="13"/>
  <c r="C29" i="11" l="1"/>
  <c r="C19" i="13"/>
  <c r="E19" i="13" s="1"/>
  <c r="G19" i="13" s="1"/>
  <c r="C25" i="13" s="1"/>
  <c r="I29" i="2" s="1"/>
  <c r="C10" i="2"/>
  <c r="C31" i="11" l="1"/>
  <c r="C14" i="2" s="1"/>
  <c r="C12" i="2"/>
</calcChain>
</file>

<file path=xl/sharedStrings.xml><?xml version="1.0" encoding="utf-8"?>
<sst xmlns="http://schemas.openxmlformats.org/spreadsheetml/2006/main" count="1667" uniqueCount="560">
  <si>
    <t>㈜오리온 | FDD 조정 DCF 가치평가</t>
  </si>
  <si>
    <t>㈜오리온 | DCF 가치평가</t>
  </si>
  <si>
    <t>모델 개요</t>
  </si>
  <si>
    <t>값</t>
  </si>
  <si>
    <t>회사명</t>
  </si>
  <si>
    <t>㈜오리온</t>
  </si>
  <si>
    <t>종목코드</t>
  </si>
  <si>
    <t>271560</t>
  </si>
  <si>
    <t>가치평가기준일</t>
  </si>
  <si>
    <t>정보기준일</t>
  </si>
  <si>
    <t>회계기준</t>
  </si>
  <si>
    <t>K-IFRS 연결재무제표</t>
  </si>
  <si>
    <t>통화 / 단위</t>
  </si>
  <si>
    <t>원화(KRW) 백만원, 주당 자료 제외</t>
  </si>
  <si>
    <t>과거 실적기간</t>
  </si>
  <si>
    <t>2023A-2025A</t>
  </si>
  <si>
    <t>추정기간</t>
  </si>
  <si>
    <t>2026E-2030E</t>
  </si>
  <si>
    <t>가치평가방법</t>
  </si>
  <si>
    <t>FCFF DCF / FDD QoE·순차입금·정상 NWC / 고든 성장모형</t>
  </si>
  <si>
    <t>할인 기준</t>
  </si>
  <si>
    <t>연말 기준</t>
  </si>
  <si>
    <t>작성자</t>
  </si>
  <si>
    <t>연한준</t>
  </si>
  <si>
    <t>버전</t>
  </si>
  <si>
    <t>v2.0 FDD Review</t>
  </si>
  <si>
    <t>모델 흐름</t>
  </si>
  <si>
    <t>공시 재무정보 → 영업추정 → FDD QoE·정상 NWC·Net Debt → FCFF → 기업가치 → FDD 지분가치 Bridge → 주당 내재가치</t>
  </si>
  <si>
    <t>공시 재무정보 → 지역별 매출액 추정 → 영업실적 추정 → NWC / Capex 명세 → FCFF → WACC / 계속기업가치 → 기업가치-지분가치 조정 → 주당 내재가치</t>
  </si>
  <si>
    <t>색상 규칙</t>
  </si>
  <si>
    <t>파란색 글꼴</t>
  </si>
  <si>
    <t>수정 가능 가정</t>
  </si>
  <si>
    <t>중요한 한계: 가치평가기준일 이후 공시된 2025 회계연도 사업보고서를 이용한 교육용 가치평가입니다. 시장 관련 가정은 예시이며 실제 업무 적용 전 최신 시장자료로 갱신해야 합니다.</t>
  </si>
  <si>
    <t>초록색 글꼴</t>
  </si>
  <si>
    <t>다른 시트 참조</t>
  </si>
  <si>
    <t>중요한 한계: 공개자료 기반 FDD입니다. 거래원장·월별 NWC·계약서·세무자료가 없어 미확인 항목은 0으로 두고 별도 입력칸과 잔여 확인사항으로 표시했습니다.</t>
  </si>
  <si>
    <t>검은색 글꼴</t>
  </si>
  <si>
    <t>수식 / 계산</t>
  </si>
  <si>
    <t>빨간색 글꼴</t>
  </si>
  <si>
    <t>경고 / 외부참조 표시</t>
  </si>
  <si>
    <t>모델 상태는 요약 및 검증 시트에 표시됩니다. 파란색 글꼴의 입력값만 수정하면 모든 가치평가 결과가 자동으로 갱신됩니다.</t>
  </si>
  <si>
    <t>㈜오리온 | FDD 조정 DCF 가치평가 요약</t>
  </si>
  <si>
    <t>㈜오리온 DCF 가치평가 요약</t>
  </si>
  <si>
    <t>FDD 조정 가치평가</t>
  </si>
  <si>
    <t>영업실적 및 핵심 지표</t>
  </si>
  <si>
    <t>DCF 기업가치</t>
  </si>
  <si>
    <t>FDD 조정 FCFF의 현재가치</t>
  </si>
  <si>
    <t>2025년 공시 EBITDA</t>
  </si>
  <si>
    <t>순차입금 조정(순현금은 +)</t>
  </si>
  <si>
    <t>Cash-like - Debt-like</t>
  </si>
  <si>
    <t>2025년 FDD 조정 EBITDA</t>
  </si>
  <si>
    <t>비영업자산</t>
  </si>
  <si>
    <t>시장가치·공정가치·장부금액</t>
  </si>
  <si>
    <t>QoE 조정액</t>
  </si>
  <si>
    <t>비지배지분</t>
  </si>
  <si>
    <t>연결 EV 귀속 조정</t>
  </si>
  <si>
    <t>2025년 영업이익률</t>
  </si>
  <si>
    <t>NWC 가격조정</t>
  </si>
  <si>
    <t>기본 0%. 거래 메커니즘 적용 시 변경</t>
  </si>
  <si>
    <t>2026~2030년 매출액 CAGR</t>
  </si>
  <si>
    <t>FDD 조정 지분가치</t>
  </si>
  <si>
    <t>기업가치 + FDD bridge</t>
  </si>
  <si>
    <t>2030년 영업이익률</t>
  </si>
  <si>
    <t>유통주식수(백만주)</t>
  </si>
  <si>
    <t>발행주식수 - 자기주식수</t>
  </si>
  <si>
    <t>2026년 FCFF</t>
  </si>
  <si>
    <t>주당 FDD 조정 내재가치</t>
  </si>
  <si>
    <t>핵심 산출값</t>
  </si>
  <si>
    <t>2030년 FCFF</t>
  </si>
  <si>
    <t>2025년 12월 평균주가</t>
  </si>
  <si>
    <t>월평균 참고주가</t>
  </si>
  <si>
    <t>EV / 2025년 FDD 조정 EBITDA</t>
  </si>
  <si>
    <t>내재 상승여력 / (하락위험)</t>
  </si>
  <si>
    <t>내재가치 / 참고주가 - 1</t>
  </si>
  <si>
    <t>계속기업가치 / EV</t>
  </si>
  <si>
    <t>FDD 검토 결론</t>
  </si>
  <si>
    <t>공개자료에서 식별되는 핵심 조정은 투자부동산 이중계상 제거와 IFRS 16 리스 처리 일관성 확보입니다. 투자부동산의 임대이익과 감가상각비를 영업가치에서 제외하고 공정가치를 별도 가산했습니다. 리스부채를 지분가치에서 차감하는 대신 사용권자산 추가액을 Capex에 포함했습니다. QoE의 기타 조정은 상세원장 없이 임의로 만들지 않았으며, 월별 NWC와 debt-like 상세를 확보할 때 입력할 수 있도록 분리했습니다.</t>
  </si>
  <si>
    <t>영업가치 DCF는 지역별 매출액 추정, 명시적인 원가율, 정상화 현금법인세율, 핵심 운전자본 회전일수 및 공시된 진천공장 투자계획을 반영한 2026~2027년 Capex를 기초로 산정합니다. 오리온은 상당한 단기금융상품과 상장사 리가켐바이오 지분을 보유하는 반면 공시상 금융기관차입금은 사실상 없으므로 기업가치-지분가치 조정이 중요합니다. 따라서 본 모델은 당기순이익을 자본환원하지 않고 영업가치와 비영업자산을 구분합니다.</t>
  </si>
  <si>
    <t>선택 민감도 범위</t>
  </si>
  <si>
    <t>모델 상태</t>
  </si>
  <si>
    <t>주요 가정 및 추정 동인</t>
  </si>
  <si>
    <t>동인</t>
  </si>
  <si>
    <t>가정 근거</t>
  </si>
  <si>
    <t>입력 구분</t>
  </si>
  <si>
    <t>지역별 매출액 성장률</t>
  </si>
  <si>
    <t>한국 성장률</t>
  </si>
  <si>
    <t>성숙한 국내 시장을 고려하여 장기 물가상승률 수준으로 성장률 수렴</t>
  </si>
  <si>
    <t>수정 가능</t>
  </si>
  <si>
    <t>중국 성장률</t>
  </si>
  <si>
    <t>판매채널 확대 및 시장 성장률 정상화</t>
  </si>
  <si>
    <t>기타 국가 성장률</t>
  </si>
  <si>
    <t>베트남·러시아·인도의 생산능력 및 유통망 확대</t>
  </si>
  <si>
    <t>연결 매출액 성장률</t>
  </si>
  <si>
    <t>가중평균 성장률 계산값</t>
  </si>
  <si>
    <t>수식</t>
  </si>
  <si>
    <t>영업·법인세·재투자 가정</t>
  </si>
  <si>
    <t>매출원가율</t>
  </si>
  <si>
    <t>2025년 원재료비 부담이 점진적으로 완화된다고 가정</t>
  </si>
  <si>
    <t>판매비율</t>
  </si>
  <si>
    <t>규모의 경제 및 판매채널 생산성 개선</t>
  </si>
  <si>
    <t>일반관리비율</t>
  </si>
  <si>
    <t>본사 공통비의 안정적 유지</t>
  </si>
  <si>
    <t>정상화 유효법인세율</t>
  </si>
  <si>
    <t>세전이익 기준 공시 유효세율을 참고한 NOPAT 세율. 현금납부세율과 구분</t>
  </si>
  <si>
    <t>감가상각비 및 무형자산상각비율</t>
  </si>
  <si>
    <t>생산능력 증설에 따라 감가상각비 증가</t>
  </si>
  <si>
    <t>유지보수 Capex 비율</t>
  </si>
  <si>
    <t>영구기간에는 D&amp;A 수준으로 수렴</t>
  </si>
  <si>
    <t>공시 성장 Capex(백만원)</t>
  </si>
  <si>
    <t>진천공장 투자계획: 2027년까지 총 4,600억원, 잔여 집행액 3,500억원을 모델에 반영</t>
  </si>
  <si>
    <t>운전자본 가정</t>
  </si>
  <si>
    <t>DSO</t>
  </si>
  <si>
    <t>매출채권 회수기간을 2025년 수준으로 유지</t>
  </si>
  <si>
    <t>재고자산 회전일수</t>
  </si>
  <si>
    <t>원재료 매입 이후 재고자산 수준 정상화</t>
  </si>
  <si>
    <t>DPO</t>
  </si>
  <si>
    <t>매입 결제조건이 점진적으로 개선된다고 가정</t>
  </si>
  <si>
    <t>기타 영업유동자산 / 매출액</t>
  </si>
  <si>
    <t>기타유동자산 비율을 안정적으로 유지</t>
  </si>
  <si>
    <t>기타 영업유동부채 / 매출액</t>
  </si>
  <si>
    <t>가치평가 가정</t>
  </si>
  <si>
    <t>무위험수익률</t>
  </si>
  <si>
    <t>원화 장기 무위험수익률 예시값이며 실제 업무 시 최신 자료로 갱신</t>
  </si>
  <si>
    <t>주식위험프리미엄</t>
  </si>
  <si>
    <t>성숙시장 ERP 예시값</t>
  </si>
  <si>
    <t>레버드 베타</t>
  </si>
  <si>
    <t>레버드 베타 예시값</t>
  </si>
  <si>
    <t>가중평균 국가위험프리미엄</t>
  </si>
  <si>
    <t>중국·베트남·러시아·인도 사업노출을 반영한 가중 조정값</t>
  </si>
  <si>
    <t>세전 타인자본비용</t>
  </si>
  <si>
    <t>공시상 금융기관차입금이 사실상 없으나 예시 차입이자율 적용</t>
  </si>
  <si>
    <t>목표 자기자본 비중</t>
  </si>
  <si>
    <t>목표 자본구조이며 실제 차입금 비중은 사실상 0%</t>
  </si>
  <si>
    <t>목표 타인자본 비중</t>
  </si>
  <si>
    <t>목표 자본구조</t>
  </si>
  <si>
    <t>영구성장률</t>
  </si>
  <si>
    <t>명시적 추정기간 성장률보다 낮은 장기 명목성장률</t>
  </si>
  <si>
    <t>종료시점 EV / EBITDA 교차검증</t>
  </si>
  <si>
    <t>교차검증 전용이며 기준 DCF를 산정하지 않음</t>
  </si>
  <si>
    <t>필요 영업현금 / 매출액</t>
  </si>
  <si>
    <t>영업활동에 필요한 최소 유동성 보유액</t>
  </si>
  <si>
    <t>과거 연결재무제표</t>
  </si>
  <si>
    <t>항목</t>
  </si>
  <si>
    <t>출처</t>
  </si>
  <si>
    <t>단위</t>
  </si>
  <si>
    <t>비고</t>
  </si>
  <si>
    <t>연결포괄손익계산서</t>
  </si>
  <si>
    <t>매출액</t>
  </si>
  <si>
    <t>S1</t>
  </si>
  <si>
    <t>백만원</t>
  </si>
  <si>
    <t>공시금액</t>
  </si>
  <si>
    <t>매출원가</t>
  </si>
  <si>
    <t>공시금액; 비용은 음수로 표시</t>
  </si>
  <si>
    <t>매출총이익</t>
  </si>
  <si>
    <t>판매비</t>
  </si>
  <si>
    <t>일반관리비</t>
  </si>
  <si>
    <t>EBIT</t>
  </si>
  <si>
    <t>공시 영업이익</t>
  </si>
  <si>
    <t>기타수익 및 기타비용 순액</t>
  </si>
  <si>
    <t>금융수익 및 금융비용 순액</t>
  </si>
  <si>
    <t>2024년 파생상품평가이익의 일시적 증가 포함</t>
  </si>
  <si>
    <t>관계기업 및 공동기업 지분법손익</t>
  </si>
  <si>
    <t>영업가치 DCF에서 제외하고 지분가치 조정에 반영</t>
  </si>
  <si>
    <t>법인세비용차감전순이익</t>
  </si>
  <si>
    <t>법인세비용</t>
  </si>
  <si>
    <t>당기순이익</t>
  </si>
  <si>
    <t>EBITDA</t>
  </si>
  <si>
    <t>계산값</t>
  </si>
  <si>
    <t>EBIT + 공시 D&amp;A</t>
  </si>
  <si>
    <t>매출액 성장률</t>
  </si>
  <si>
    <t>매출총이익률</t>
  </si>
  <si>
    <t>영업이익률</t>
  </si>
  <si>
    <t>유효법인세율</t>
  </si>
  <si>
    <t>현금흐름 및 DCF 입력값</t>
  </si>
  <si>
    <t>D&amp;A(사용권자산·투자부동산 포함)</t>
  </si>
  <si>
    <t>S2</t>
  </si>
  <si>
    <t>사업부문 공시 D&amp;A</t>
  </si>
  <si>
    <t>유형자산 취득</t>
  </si>
  <si>
    <t>현금유출액을 모델상 양수로 표시</t>
  </si>
  <si>
    <t>무형자산 취득</t>
  </si>
  <si>
    <t>총 자본적지출(Capex)</t>
  </si>
  <si>
    <t>유형자산 및 무형자산 취득액 합계</t>
  </si>
  <si>
    <t>영업활동현금흐름</t>
  </si>
  <si>
    <t>영업자산·부채의 증감</t>
  </si>
  <si>
    <t>공시 현금흐름 변동액; 핵심 NWC 추정 동인에는 미사용</t>
  </si>
  <si>
    <t>연결재무상태표 및 가치조정 입력값</t>
  </si>
  <si>
    <t>현금및현금성자산</t>
  </si>
  <si>
    <t>S3</t>
  </si>
  <si>
    <t>단기금융상품</t>
  </si>
  <si>
    <t>공시금액; 비영업 유동성으로 분류</t>
  </si>
  <si>
    <t>유동 당기손익-공정가치측정 금융자산</t>
  </si>
  <si>
    <t>기타유동금융자산</t>
  </si>
  <si>
    <t>영업성·비영업성이 혼재하여 가치조정에서 제외</t>
  </si>
  <si>
    <t>매출채권</t>
  </si>
  <si>
    <t>핵심 영업 NWC</t>
  </si>
  <si>
    <t>재고자산</t>
  </si>
  <si>
    <t>기타유동자산</t>
  </si>
  <si>
    <t>유형자산</t>
  </si>
  <si>
    <t>무형자산</t>
  </si>
  <si>
    <t>영업권</t>
  </si>
  <si>
    <t>투자부동산 - 장부금액</t>
  </si>
  <si>
    <t>투자부동산 - 공정가치</t>
  </si>
  <si>
    <t>S4</t>
  </si>
  <si>
    <t>공시 공정가치</t>
  </si>
  <si>
    <t>사용권자산</t>
  </si>
  <si>
    <t>관계기업 및 공동기업투자 합계</t>
  </si>
  <si>
    <t>공시금액; 영업이익에는 지분법손익 미포함</t>
  </si>
  <si>
    <t>리가켐바이오 - 장부금액</t>
  </si>
  <si>
    <t>S5</t>
  </si>
  <si>
    <t>리가켐바이오 - 시장가치</t>
  </si>
  <si>
    <t>2025년 12월 공시 시장가치</t>
  </si>
  <si>
    <t>비유동 기타포괄손익-공정가치측정 금융자산</t>
  </si>
  <si>
    <t>자산총계</t>
  </si>
  <si>
    <t>금융기관차입금</t>
  </si>
  <si>
    <t>공시 금융기관차입금</t>
  </si>
  <si>
    <t>유동리스부채</t>
  </si>
  <si>
    <t>차입금성 항목</t>
  </si>
  <si>
    <t>비유동리스부채</t>
  </si>
  <si>
    <t>매입채무</t>
  </si>
  <si>
    <t>기타유동부채</t>
  </si>
  <si>
    <t>기타유동금융부채</t>
  </si>
  <si>
    <t>지분가치 조정 시 차감</t>
  </si>
  <si>
    <t>부채총계</t>
  </si>
  <si>
    <t>자본총계</t>
  </si>
  <si>
    <t>재무상태표 일치 검증</t>
  </si>
  <si>
    <t>자산총계 - 부채총계 - 자본총계</t>
  </si>
  <si>
    <t>주식수 및 시장 참고자료</t>
  </si>
  <si>
    <t>발행주식수</t>
  </si>
  <si>
    <t>S6</t>
  </si>
  <si>
    <t>주</t>
  </si>
  <si>
    <t>자기주식수</t>
  </si>
  <si>
    <t>유통주식수</t>
  </si>
  <si>
    <t>S7</t>
  </si>
  <si>
    <t>원/주</t>
  </si>
  <si>
    <t>월평균 주가이며 정확한 연말 종가가 아님</t>
  </si>
  <si>
    <t>지역별 매출액</t>
  </si>
  <si>
    <t>한국</t>
  </si>
  <si>
    <t>S8</t>
  </si>
  <si>
    <t>본사 소재국</t>
  </si>
  <si>
    <t>중국</t>
  </si>
  <si>
    <t>기타 국가</t>
  </si>
  <si>
    <t>베트남·러시아·인도 등</t>
  </si>
  <si>
    <t>지역별 매출액 합계</t>
  </si>
  <si>
    <t>2024~2025년 합계가 연결 매출액과 일치</t>
  </si>
  <si>
    <t>지역별 매출액 추정</t>
  </si>
  <si>
    <t>지역별 매출액 전망</t>
  </si>
  <si>
    <t>한국 매출액</t>
  </si>
  <si>
    <t>성장률</t>
  </si>
  <si>
    <t>중국 매출액</t>
  </si>
  <si>
    <t>기타 국가 매출액</t>
  </si>
  <si>
    <t>연결 매출액</t>
  </si>
  <si>
    <t>공시 연결 매출액 일치 검증</t>
  </si>
  <si>
    <t>추정 논리: 한국과 중국의 성장률은 성숙시장 명목성장률로 수렴하며, 베트남·러시아·인도는 생산능력 및 유통망 확장 초기 단계이므로 기타 국가가 주요 성장동인으로 유지됩니다. 2025년 러시아 공시 성장률 47.3%는 기계적으로 연장하지 않았습니다.</t>
  </si>
  <si>
    <t>영업실적 추정</t>
  </si>
  <si>
    <t>손익계산서 추정</t>
  </si>
  <si>
    <t>D&amp;A</t>
  </si>
  <si>
    <t>EBITDA 이익률</t>
  </si>
  <si>
    <t>EBIT은 영업이익률을 직접 입력하지 않고 매출원가율, 판매비율 및 일반관리비율을 명시적으로 적용하여 추정합니다. 이에 따라 이익률 개선의 경제적 동인이 드러나며 실사 과정에서 가정 검토가 용이합니다.</t>
  </si>
  <si>
    <t>순운전자본 명세</t>
  </si>
  <si>
    <t>핵심 영업운전자본</t>
  </si>
  <si>
    <t>매출원가(양수 표시)</t>
  </si>
  <si>
    <t>매출채권 회수기간</t>
  </si>
  <si>
    <t>기타 영업유동자산</t>
  </si>
  <si>
    <t>매출액 대비 비율</t>
  </si>
  <si>
    <t>매입채무 회수기간</t>
  </si>
  <si>
    <t>기타 영업유동부채</t>
  </si>
  <si>
    <t>순운전자본</t>
  </si>
  <si>
    <t>NWC 증감</t>
  </si>
  <si>
    <t>핵심 NWC는 매출채권, 재고자산 및 기타 영업유동자산에서 매입채무, 기타유동부채 및 기타유동금융부채를 차감하여 산정합니다. 현금, 금융상품, 법인세, 금융기관차입금 및 리스부채는 제외합니다.</t>
  </si>
  <si>
    <t>Capex 및 감가상각비 명세</t>
  </si>
  <si>
    <t>재투자 명세</t>
  </si>
  <si>
    <t>공시 총 Capex</t>
  </si>
  <si>
    <t>유지보수 Capex</t>
  </si>
  <si>
    <t>공시 성장 Capex</t>
  </si>
  <si>
    <t>총 Capex(현금 + Lease capex)</t>
  </si>
  <si>
    <t>총 Capex / 매출액</t>
  </si>
  <si>
    <t>순투자(Capex - D&amp;A)</t>
  </si>
  <si>
    <t>누적 추정 성장 Capex</t>
  </si>
  <si>
    <t>사업보고서는 2025년 6월부터 2027년 12월까지 총 4,600억원 규모의 진천공장 투자계획을 공시합니다. 정확한 현금 집행일정은 공시되지 않았으므로 본 모델은 2026~2027년 잔여 프로젝트 Capex를 3,500억원으로 가정하고 나머지는 2025 회계연도까지 집행 또는 확정된 것으로 처리합니다. 이는 명시적인 실사 확인사항입니다.</t>
  </si>
  <si>
    <t>가중평균자본비용(WACC)</t>
  </si>
  <si>
    <t>자기자본비용</t>
  </si>
  <si>
    <t>산정방법
자기자본비용 = 무위험수익률 + 베타 × ERP + 국가위험프리미엄
공시상 금융기관차입금이 사실상 없으므로 타인자본 비중 5%는 관측 자본구조가 아닌 정상화 목표값입니다. WACC 입력값은 교육용 가정이며 실제 업무 시 최신 시장자료와 비교기업 베타 분석을 반영해야 합니다.</t>
  </si>
  <si>
    <t>세후 타인자본비용</t>
  </si>
  <si>
    <t>현금법인세율</t>
  </si>
  <si>
    <t>목표 자본구조 및 WACC</t>
  </si>
  <si>
    <t>자기자본 비중</t>
  </si>
  <si>
    <t>타인자본 비중</t>
  </si>
  <si>
    <t>비중 합계 검증</t>
  </si>
  <si>
    <t>WACC</t>
  </si>
  <si>
    <t>DCF 가치평가</t>
  </si>
  <si>
    <t>FCFF</t>
  </si>
  <si>
    <t>FDD 조정 EBIT</t>
  </si>
  <si>
    <t>EBIT 기준 현금법인세</t>
  </si>
  <si>
    <t>세후영업이익(NOPAT)</t>
  </si>
  <si>
    <t>FDD 조정 D&amp;A</t>
  </si>
  <si>
    <t>총 Capex</t>
  </si>
  <si>
    <t>할인기간</t>
  </si>
  <si>
    <t>할인계수</t>
  </si>
  <si>
    <t>FCFF 현재가치</t>
  </si>
  <si>
    <t>FCFF 이익률</t>
  </si>
  <si>
    <t>고든 성장모형 계속기업가치</t>
  </si>
  <si>
    <t>계속기업가치 검토
기준 DCF는 고든 성장모형으로 산정하며 종료시점 배수는 합리성 교차검증에만 사용합니다.
계속기업가치 비중이 약 80~85%를 초과하면 결과의 가정 민감도가 높다는 의미이므로 검증 및 민감도분석 시트를 함께 확인해야 합니다.</t>
  </si>
  <si>
    <t>2030 FCFF</t>
  </si>
  <si>
    <t>계속기업가치</t>
  </si>
  <si>
    <t>계속기업가치 현재가치</t>
  </si>
  <si>
    <t>추정기간 FCFF 현재가치 합계</t>
  </si>
  <si>
    <t>기업가치</t>
  </si>
  <si>
    <t>종료시점 배수 교차검증</t>
  </si>
  <si>
    <t>2030 EBITDA</t>
  </si>
  <si>
    <t>종료시점 EV / EBITDA</t>
  </si>
  <si>
    <t>종료시점 배수 기준 계속기업가치</t>
  </si>
  <si>
    <t>기업가치 - 종료시점 배수법</t>
  </si>
  <si>
    <t>기업가치 - FDD 조정 지분가치</t>
  </si>
  <si>
    <t>기업가치-지분가치 조정표</t>
  </si>
  <si>
    <t>영업 기업가치</t>
  </si>
  <si>
    <t>Cash-like 자산</t>
  </si>
  <si>
    <t>FDD bridge는 cash-free / debt-free 관점으로 재분류했습니다.</t>
  </si>
  <si>
    <t>Debt-like 항목</t>
  </si>
  <si>
    <t>공급자금융 422억원은 일반 매입채무와 지급기한 차이가 없고 금융기관 선지급 잔액도 없어 debt-like 0%를 적용했습니다.</t>
  </si>
  <si>
    <t>NWC 가격조정은 거래 종결 메커니즘과 DCF의 2026년 NWC 정상화를 중복 반영하지 않도록 기본 0%입니다.</t>
  </si>
  <si>
    <t>리가켐바이오 시장가치</t>
  </si>
  <si>
    <t>투자부동산 공정가치를 별도 가산하는 대신 임대이익과 감가상각비를 영업가치에서 제거했습니다.</t>
  </si>
  <si>
    <t>기타 관계·공동기업</t>
  </si>
  <si>
    <t>리가켐 지분의 처분세금·시장충격 할인은 확인 전 0%입니다.</t>
  </si>
  <si>
    <t>투자부동산 공정가치</t>
  </si>
  <si>
    <t>기타 관계·공동기업은 장부금액 기준이며 일부 양도 제한이 있습니다.</t>
  </si>
  <si>
    <t>비유동 OCI 금융자산</t>
  </si>
  <si>
    <t>순확정급여자산은 환급 또는 기여금 감액 가능성 확인 전 0%입니다.</t>
  </si>
  <si>
    <t>순확정급여자산 반영액</t>
  </si>
  <si>
    <t>상세 조정은 FDD 조정 시트에서 변경할 수 있습니다.</t>
  </si>
  <si>
    <t>기타 비영업자산</t>
  </si>
  <si>
    <t>순차입금 및 비영업자산 조정</t>
  </si>
  <si>
    <t>영업가치 DCF는 지분법손익을 제외합니다. 따라서 상장사 리가켐바이오 지분은 공시된 2025년 12월 시장가치로 별도 가산하고, 기타 비상장 관계기업 및 공동기업투자는 장부금액으로 가산합니다. 투자부동산은 공시 공정가치로 가산합니다. 본 기본형 모델은 세금누출 및 지배력 할인을 반영하지 않습니다.</t>
  </si>
  <si>
    <t>차입금성 항목 및 비지배지분</t>
  </si>
  <si>
    <t>적용 NWC 가격조정</t>
  </si>
  <si>
    <t>기타 FDD 조정</t>
  </si>
  <si>
    <t>기타 지분가치 조정</t>
  </si>
  <si>
    <t>지분가치 및 주당가치</t>
  </si>
  <si>
    <t>FDD 지분가치 조정액</t>
  </si>
  <si>
    <t>DCF 민감도분석 | 주당 내재가치</t>
  </si>
  <si>
    <t>영구성장률(행) / WACC(열)</t>
  </si>
  <si>
    <t>영구성장률 / WACC</t>
  </si>
  <si>
    <t>해석
본 표는 각 WACC 및 영구성장률 조합별 전체 가치평가 산식을 재계산하며 고정값 표가 아닙니다. 강조된 중앙값은 WACC 9.5%와 영구성장률 2.0%에 해당합니다. 민감도 결과는 확률분포가 아니라 합리적으로 설명 가능한 가치 범위로 해석해야 합니다.</t>
  </si>
  <si>
    <t>모델 검증 및 FDD 통제</t>
  </si>
  <si>
    <t>검증항목</t>
  </si>
  <si>
    <t>실제값</t>
  </si>
  <si>
    <t>기대값 / 한도</t>
  </si>
  <si>
    <t>차이</t>
  </si>
  <si>
    <t>허용오차</t>
  </si>
  <si>
    <t>상태</t>
  </si>
  <si>
    <t>재무상태표 일치 - 2023년</t>
  </si>
  <si>
    <t>재무상태표 일치 - 2024년</t>
  </si>
  <si>
    <t>재무상태표 일치 - 2025년</t>
  </si>
  <si>
    <t>매출총이익 일치 - 2023년</t>
  </si>
  <si>
    <t>매출총이익 일치 - 2024년</t>
  </si>
  <si>
    <t>매출총이익 일치 - 2025년</t>
  </si>
  <si>
    <t>지역별 매출액 합계 - 2024년</t>
  </si>
  <si>
    <t>지역별 매출액 합계 - 2025년</t>
  </si>
  <si>
    <t>WACC 자본비중 합계</t>
  </si>
  <si>
    <t>DCF 기업가치 합계</t>
  </si>
  <si>
    <t>FDD 조정 EBITDA Bridge</t>
  </si>
  <si>
    <t>FDD 순차입금 Bridge</t>
  </si>
  <si>
    <t>FDD 지분가치 조정 Bridge</t>
  </si>
  <si>
    <t>기업가치-지분가치 조정</t>
  </si>
  <si>
    <t>WACC가 영구성장률 초과</t>
  </si>
  <si>
    <t>계속기업가치 비중 85% 이하</t>
  </si>
  <si>
    <t>추정기간 FCFF 존재</t>
  </si>
  <si>
    <t>종합 모델 상태</t>
  </si>
  <si>
    <t>종합 상태</t>
  </si>
  <si>
    <t>검증 통과는 수리적 정합성을 의미합니다. QoE, 현금 제한, debt-like, 월별 NWC, 세금누출 및 처분할인은 상세 실사자료를 확보한 뒤 갱신해야 합니다.</t>
  </si>
  <si>
    <t>출처, 감사추적 및 한계</t>
  </si>
  <si>
    <t>출처 ID</t>
  </si>
  <si>
    <t>기간 / 기준일</t>
  </si>
  <si>
    <t>DART 쪽 / 구분</t>
  </si>
  <si>
    <t>모델 사용처</t>
  </si>
  <si>
    <t>인터넷주소</t>
  </si>
  <si>
    <t>2023~2025 회계연도</t>
  </si>
  <si>
    <t>원화</t>
  </si>
  <si>
    <t>[오리온]사업보고서(2026.03.18).pdf</t>
  </si>
  <si>
    <t>42~43쪽</t>
  </si>
  <si>
    <t>과거 손익계산서 / EBIT</t>
  </si>
  <si>
    <t>https://dart.fss.or.kr/</t>
  </si>
  <si>
    <t>D&amp;A, Capex 및 현금흐름</t>
  </si>
  <si>
    <t>원 / 천원</t>
  </si>
  <si>
    <t>동일 사업보고서</t>
  </si>
  <si>
    <t>16쪽, 44~46쪽</t>
  </si>
  <si>
    <t>D&amp;A, Capex, 영업활동현금흐름</t>
  </si>
  <si>
    <t>연결재무상태표</t>
  </si>
  <si>
    <t>2023-12-31~2025-12-31</t>
  </si>
  <si>
    <t>41~42쪽</t>
  </si>
  <si>
    <t>NWC 및 지분가치 조정</t>
  </si>
  <si>
    <t>2024-12-31 / 2025-12-31</t>
  </si>
  <si>
    <t>78쪽</t>
  </si>
  <si>
    <t>리가켐바이오 및 기타 관계기업·공동기업투자</t>
  </si>
  <si>
    <t>천원</t>
  </si>
  <si>
    <t>83~85쪽</t>
  </si>
  <si>
    <t>지분가치 조정</t>
  </si>
  <si>
    <t>발행주식수 및 자기주식수</t>
  </si>
  <si>
    <t>2025-12-31</t>
  </si>
  <si>
    <t>7~8쪽</t>
  </si>
  <si>
    <t>주당가치</t>
  </si>
  <si>
    <t>2025년 12월 월평균 주가</t>
  </si>
  <si>
    <t>2025년 12월</t>
  </si>
  <si>
    <t>273쪽</t>
  </si>
  <si>
    <t>시장 참고자료로만 사용</t>
  </si>
  <si>
    <t>2024~2025 회계연도</t>
  </si>
  <si>
    <t>68쪽</t>
  </si>
  <si>
    <t>매출액 추정</t>
  </si>
  <si>
    <t>S9</t>
  </si>
  <si>
    <t>진천공장 투자계획</t>
  </si>
  <si>
    <t>2025-06~2027-12</t>
  </si>
  <si>
    <t>총 4,600억원</t>
  </si>
  <si>
    <t>7쪽</t>
  </si>
  <si>
    <t>성장 Capex 기준</t>
  </si>
  <si>
    <t>S10</t>
  </si>
  <si>
    <t>2025년 감사보고서 접속 페이지</t>
  </si>
  <si>
    <t>2025 회계연도</t>
  </si>
  <si>
    <t>해당 없음</t>
  </si>
  <si>
    <t>오리온 IR</t>
  </si>
  <si>
    <t>감사보고서 교차검증</t>
  </si>
  <si>
    <t>원문 접속</t>
  </si>
  <si>
    <t>https://www.orionworld.com/en/invest/finance/79</t>
  </si>
  <si>
    <t>S11</t>
  </si>
  <si>
    <t>2025년 4분기 실적자료 접속 페이지</t>
  </si>
  <si>
    <t>IR 실적자료 및 경영진 설명</t>
  </si>
  <si>
    <t>보조자료로만 사용</t>
  </si>
  <si>
    <t>https://www.orionworld.com/en/invest/finance/78</t>
  </si>
  <si>
    <t>S12</t>
  </si>
  <si>
    <t>한국 금리 참고자료</t>
  </si>
  <si>
    <t>2025</t>
  </si>
  <si>
    <t>%</t>
  </si>
  <si>
    <t>한국은행 경제통계시스템(ECOS)</t>
  </si>
  <si>
    <t>시장자료 참고</t>
  </si>
  <si>
    <t>WACC 갱신 출처</t>
  </si>
  <si>
    <t>https://ecos.bok.or.kr/</t>
  </si>
  <si>
    <t>주요 한계</t>
  </si>
  <si>
    <t>1. 2025 회계연도 감사정보는 가치평가기준일 이후 공시되어 본 파일은 사후적 교육용 분석입니다.
2. WACC는 비교기업 베타 검증 전 예시값입니다.
3. 진천공장 투자 집행시기는 모델링 가정입니다.
4. 리가켐바이오 시장가치에는 처분세금·유동성 할인·거래비용을 반영하지 않았습니다.
5. QoE 상세원장, 계약서, 세무자료와 월별 NWC가 없어 미확인 조정은 0입니다.
6. 공급자금융은 공시상 일반 매입채무와 지급기한 차이가 없어 debt-like 0%를 적용했습니다.
7. 투자부동산은 공정가치를 가산하고 임대이익·D&amp;A를 DCF에서 제거했습니다.
8. 리스부채를 차감하는 처리와 맞추어 사용권자산 추가를 Capex에 포함했습니다.
9. 2025년 12월 평균주가는 2025-12-31 종가가 아닙니다.</t>
  </si>
  <si>
    <t>1. 2025 회계연도 감사정보는 2025-12-31 가치평가기준일 이후 공시되었으므로 본 파일은 사후적 교육용 가치평가입니다.
2. WACC 입력값은 예시이며 정식 비교기업 베타 분석을 수행하지 않았습니다.
3. 총 4,600억원 규모 진천공장 투자액의 정확한 집행시기는 공시되지 않아 추정 배분액은 명시적인 모델링 가정입니다.
4. 리가켐바이오는 공시된 2025년 12월 시장가치로 평가하며 세금누출, 유동성 할인 및 거래비용 조정은 반영하지 않았습니다.
5. 기타 관계기업 및 공동기업투자는 장부금액, 투자부동산은 공시 공정가치로 평가합니다.
6. 2025년 12월 평균주가는 참고값이며 2025-12-31 종가가 아닙니다.</t>
  </si>
  <si>
    <t>S13</t>
  </si>
  <si>
    <t>투자부동산 임대수익·비용</t>
  </si>
  <si>
    <t>2023~2025</t>
  </si>
  <si>
    <t>오리온 사업보고서</t>
  </si>
  <si>
    <t>연결주석 9</t>
  </si>
  <si>
    <t>QoE 및 DCF 비영업 재분류</t>
  </si>
  <si>
    <t>S14</t>
  </si>
  <si>
    <t>리스부채·사용권자산 추가</t>
  </si>
  <si>
    <t>천원 / 백만원</t>
  </si>
  <si>
    <t>연결주석 10·10.1</t>
  </si>
  <si>
    <t>Lease capex 및 debt-like</t>
  </si>
  <si>
    <t>S15</t>
  </si>
  <si>
    <t>공급자금융약정·우발채무·소송</t>
  </si>
  <si>
    <t>연결주석 36</t>
  </si>
  <si>
    <t>Debt-like 분류 검토</t>
  </si>
  <si>
    <t>S16</t>
  </si>
  <si>
    <t>사용 제한 금융자산</t>
  </si>
  <si>
    <t>연결주석 16.1</t>
  </si>
  <si>
    <t>Cash-like 검토</t>
  </si>
  <si>
    <t>S17</t>
  </si>
  <si>
    <t>순확정급여자산</t>
  </si>
  <si>
    <t>연결주석 26</t>
  </si>
  <si>
    <t>비영업자산 인정률 검토</t>
  </si>
  <si>
    <t>㈜오리온 | FDD 조정 및 거래가격 검토</t>
  </si>
  <si>
    <t>단위: 백만원, 주당 자료 제외</t>
  </si>
  <si>
    <t>Quality of Earnings 및 지속가능 EBITDA</t>
  </si>
  <si>
    <t>2023A</t>
  </si>
  <si>
    <t>2024A</t>
  </si>
  <si>
    <t>2025A</t>
  </si>
  <si>
    <t>근거 / 처리</t>
  </si>
  <si>
    <t>2026E</t>
  </si>
  <si>
    <t>2027E</t>
  </si>
  <si>
    <t>2028E</t>
  </si>
  <si>
    <t>2029E</t>
  </si>
  <si>
    <t>2030E</t>
  </si>
  <si>
    <t>공시 EBITDA</t>
  </si>
  <si>
    <t>공시 EBIT + 공시 D&amp;A</t>
  </si>
  <si>
    <t>비영업 임대수익 재분류</t>
  </si>
  <si>
    <t>투자부동산을 공정가치로 별도 가산하므로 임대 EBITDA 제거</t>
  </si>
  <si>
    <t>회계·분류 조정</t>
  </si>
  <si>
    <t>비경상 수익 차감</t>
  </si>
  <si>
    <t>비경상 비용 가산</t>
  </si>
  <si>
    <t>특수관계자·보수 정상화</t>
  </si>
  <si>
    <t>Run-rate / Pro forma 조정</t>
  </si>
  <si>
    <t>FDD 조정 EBITDA</t>
  </si>
  <si>
    <t>FDD 조정 EBITDA 이익률</t>
  </si>
  <si>
    <t>투자부동산 EBIT 재분류</t>
  </si>
  <si>
    <t>2025년 임대수익 4,272 - 직접비용 217</t>
  </si>
  <si>
    <t>투자부동산 D&amp;A 조정</t>
  </si>
  <si>
    <t>비영업 투자부동산 감가상각비를 D&amp;A 가산에서 제거</t>
  </si>
  <si>
    <t>사용권자산 추가(Lease capex)</t>
  </si>
  <si>
    <t>IFRS 16 리스부채를 차감하므로 사용권자산 추가를 Capex에 포함</t>
  </si>
  <si>
    <t>Lease capex / 매출액</t>
  </si>
  <si>
    <t>2025년 실제 0.38%를 기준으로 한 수정 가능 가정</t>
  </si>
  <si>
    <t>정상 운전자본 및 Purchase Price Adjustment</t>
  </si>
  <si>
    <t>핵심 FDD 결과</t>
  </si>
  <si>
    <t>순차입금 / (순현금)</t>
  </si>
  <si>
    <t>NWC 초과 / (부족)</t>
  </si>
  <si>
    <t>기타유동부채 + 기타유동금융부채, debt-like 재분류 차감</t>
  </si>
  <si>
    <t>NWC 내 debt-like 재분류</t>
  </si>
  <si>
    <t>영업 NWC</t>
  </si>
  <si>
    <t>NWC / 매출액</t>
  </si>
  <si>
    <t>3개년 평균 NWC / 매출액</t>
  </si>
  <si>
    <t>잔여 확인사항</t>
  </si>
  <si>
    <t>2025년 정상 NWC Peg</t>
  </si>
  <si>
    <t>1. 월별·고객·제품별 매출 및 마진 원장 미확보</t>
  </si>
  <si>
    <t>2025년 Closing NWC</t>
  </si>
  <si>
    <t>2. 현금·단기금융상품의 질권·처분제한 확인 필요</t>
  </si>
  <si>
    <t>3. Capex 미지급금·세금·보증 등 debt-like 상세 미확보</t>
  </si>
  <si>
    <t>가격조정 적용률(0~100%)</t>
  </si>
  <si>
    <t>공개자료 기반 DCF에는 이중계상 방지를 위해 0% 적용</t>
  </si>
  <si>
    <t>4. 리가켐 지분 처분세금·블록딜 할인 미반영</t>
  </si>
  <si>
    <t>5. 월별 NWC·계절성 자료가 없어 연말 3개년 평균 Peg 사용</t>
  </si>
  <si>
    <t>순차입금 및 Debt-like 검토</t>
  </si>
  <si>
    <t>공시 / 입력금액</t>
  </si>
  <si>
    <t>인정률</t>
  </si>
  <si>
    <t>FDD 반영액</t>
  </si>
  <si>
    <t>분류 근거</t>
  </si>
  <si>
    <t>현금성자산</t>
  </si>
  <si>
    <t>필요 영업현금</t>
  </si>
  <si>
    <t>운영에 필요한 현금은 cash-like에서 제외</t>
  </si>
  <si>
    <t>제한 여부 추가 확인 필요</t>
  </si>
  <si>
    <t>유동 FVTPL 금융자산</t>
  </si>
  <si>
    <t>공정가치 금융자산</t>
  </si>
  <si>
    <t>미수금·보증금·대여금 혼재</t>
  </si>
  <si>
    <t>2025년 말 잔액 없음</t>
  </si>
  <si>
    <t>리스부채</t>
  </si>
  <si>
    <t>IFRS 16 금융부채</t>
  </si>
  <si>
    <t>공급자금융약정 대상 채무</t>
  </si>
  <si>
    <t>Capex 관련 미지급금</t>
  </si>
  <si>
    <t>분할 관련 연대채무</t>
  </si>
  <si>
    <t>우발성·회수가능성 확인 필요</t>
  </si>
  <si>
    <t>소송 총 청구액</t>
  </si>
  <si>
    <t>경영진은 재무제표 영향이 중요하지 않을 것으로 예상</t>
  </si>
  <si>
    <t>비영업자산 및 지분가치 조정</t>
  </si>
  <si>
    <t>세금누출·블록딜 할인 미반영</t>
  </si>
  <si>
    <t>장부금액. 일부 양도 제한</t>
  </si>
  <si>
    <t>임대이익은 DCF에서 제거</t>
  </si>
  <si>
    <t>공정가치</t>
  </si>
  <si>
    <t>환급·기여금 감액 가능성 확인 전 미반영</t>
  </si>
  <si>
    <t>확인 후 입력</t>
  </si>
  <si>
    <t>비영업자산 합계</t>
  </si>
  <si>
    <t>2025년 기타 영업유동부채에서 CAPEX 미지급금 13,687백만원을 debt-like로 재분류한 FDD 조정 비율을 2026~2030E에 적용</t>
  </si>
  <si>
    <t>핵심 NWC는 매출채권, 재고자산 및 기타 영업유동자산에서 매입채무, 기타유동부채 및 기타유동금융부채를 차감하여 산정합니다. 현금, 금융상품, 법인세, 금융기관차입금 및 리스부채는 제외합니다. 2025년 공개자료로 확인된 CAPEX 관련 미지급금 13,687백만원은 FDD 조정 시트에서 debt-like로 재분류하여 운영 NWC에서도 제외합니다.</t>
  </si>
  <si>
    <t>Public FDD 자료는 2025~2027년 총 8,300억원 생산투자 계획(한국 진천 4,600억원, 베트남 1,300억원, 러시아 2,400억원)을 제시합니다. 다만 2025 기집행분, maintenance/growth 구분 및 국가별 현금 지급시점이 공개자료만으로 분해되지 않아 현재 DCF에는 기존의 2026~2027 명시적 성장 Capex 3,500억원만 계량 반영하고, 추가 금액은 DD 확인사항으로 유지합니다.</t>
  </si>
  <si>
    <t>Debt-like에는 IFRS 16 리스부채와 공개자료로 확인된 Capex 관련 미지급금 13,687백만원을 반영했습니다. 공급자금융 약정 대상 채무는 금융기관 부채 잔액이 없어 0% 적용했습니다.</t>
  </si>
  <si>
    <t>Capex 미지급금 13,687백만원은 운영 NWC에서도 동일 금액을 제외하여 이중계상을 방지했습니다. NWC 가격조정은 거래 종결 메커니즘과 DCF의 정상 운전자본 반영이 중복되지 않도록 기본 0%입니다.</t>
  </si>
  <si>
    <t>2025 Q4 이후 일부 IR은 오리온홀딩스 연결범위를 포함하므로 ㈜오리온 valuation historical과 직접 혼용하지 않음. 연결범위 bridge 확보 전 금액 조정 없음 (ACC-001)</t>
  </si>
  <si>
    <t>2024년 파생상품평가이익 152,800백만원은 영업이익(EBIT) 아래 비영업 항목으로 확인되어 FCFF 영업가치에는 추가 조정하지 않음 (QOE-001)</t>
  </si>
  <si>
    <t>유형자산 처분손익 등 비경상 후보는 확인되나 영업이익 반영 범위·반복성 미확정. 공개자료 기준 추가 조정 없음</t>
  </si>
  <si>
    <t>2026년 본사 연간임대료 13,767백만원 및 특수관계자 거래가 확인되나 계약 대체범위·시장조건·IFRS 16 스케줄 미확보. 정상화 금액 미반영 (RP-003)</t>
  </si>
  <si>
    <t>공개자료상 국가별 매출·마진 run-rate는 확인되나 월별 가격·물량·환율 bridge 미확보. 정량 Pro forma 조정 없음</t>
  </si>
  <si>
    <t>유형자산 취득 관련 미지급금 증가 13,687백만원을 공개자료상 확인. 운영 NWC에서 제외하고 debt-like로 잠정 재분류하며, creditor/AP 계정 매핑·지급일은 추가 확인 필요 (DL-003)</t>
  </si>
  <si>
    <t>월별 자료가 없어 3개 연말 평균을 임시 Peg로 사용하되, 2025년은 CAPEX 미지급금 13,687백만원을 운영 NWC에서 제외한 FDD 조정 기준</t>
  </si>
  <si>
    <t>2. 현금·단기금융상품의 질권·처분제한·해외송금 및 필요 영업현금 확인 필요</t>
  </si>
  <si>
    <t>3. Capex 미지급금 13,687백만원은 debt-like로 잠정 반영. creditor/AP 매핑 및 지급일 확인 필요</t>
  </si>
  <si>
    <t>4. 총 8,300억원 생산투자 계획의 2025 기집행분 및 2026~2027 국가별 지급 스케줄 미확보</t>
  </si>
  <si>
    <t>5. 본사 연간임대료 13,767백만원의 기존 계약 대체범위·시장조건·IFRS 16 스케줄 확인 필요</t>
  </si>
  <si>
    <t>공급자금융 약정 대상 채무는 존재하나 공시상 금융기관 부채 잔액은 없음. 실제 미지급금 및 지급일 확인 전 debt-like 0% 적용</t>
  </si>
  <si>
    <t>2025년 유형자산 취득 관련 미지급금 증가 13,687백만원. 운영 AP와 이중계상 방지를 위해 NWC에서 동일 금액 재분류 (DL-003)</t>
  </si>
  <si>
    <t>기타 debt-like (당기법인세부채 등)</t>
  </si>
  <si>
    <t>2025년 당기법인세부채 54,778백만원 확인. SPA상 pre-close tax 정의·납부일정 미확보로 기본 0% 반영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</si>
</sst>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yyyy\-mm\-dd"/>
    <numFmt numFmtId="177" formatCode="yyyy&quot;A&quot;"/>
    <numFmt numFmtId="178" formatCode="#,##0;[Red]\(#,##0\);\-"/>
    <numFmt numFmtId="179" formatCode="0.0%;[Red]\(0.0%\);\-"/>
    <numFmt numFmtId="180" formatCode="yyyy&quot;E&quot;"/>
    <numFmt numFmtId="181" formatCode="0.0"/>
    <numFmt numFmtId="182" formatCode="0.00\x"/>
    <numFmt numFmtId="183" formatCode="0.0\x;[Red]\(0.0\x\);\-"/>
    <numFmt numFmtId="184" formatCode="0.000\x"/>
    <numFmt numFmtId="185" formatCode="#,##0.0;[Red]\(#,##0.0\);\-"/>
    <numFmt numFmtId="186" formatCode="0.0%"/>
    <numFmt numFmtId="187" formatCode="0.0\x"/>
  </numFmts>
  <fonts count="25">
    <font>
      <sz val="11"/>
      <name val="Carlito"/>
    </font>
    <font>
      <sz val="10"/>
      <color rgb="FF000000"/>
      <name val="Malgun Gothic"/>
      <family val="3"/>
      <charset val="129"/>
    </font>
    <font>
      <b/>
      <sz val="16"/>
      <color rgb="FFFFFFFF"/>
      <name val="Malgun Gothic"/>
      <family val="3"/>
      <charset val="129"/>
    </font>
    <font>
      <b/>
      <sz val="10"/>
      <color rgb="FFFFFFFF"/>
      <name val="Malgun Gothic"/>
      <family val="3"/>
      <charset val="129"/>
    </font>
    <font>
      <b/>
      <sz val="10"/>
      <color rgb="FF595959"/>
      <name val="Malgun Gothic"/>
      <family val="3"/>
      <charset val="129"/>
    </font>
    <font>
      <sz val="10"/>
      <color rgb="FF0000FF"/>
      <name val="Malgun Gothic"/>
      <family val="3"/>
      <charset val="129"/>
    </font>
    <font>
      <sz val="10"/>
      <color rgb="FF008000"/>
      <name val="Malgun Gothic"/>
      <family val="3"/>
      <charset val="129"/>
    </font>
    <font>
      <sz val="10"/>
      <color rgb="FFFF0000"/>
      <name val="Malgun Gothic"/>
      <family val="3"/>
      <charset val="129"/>
    </font>
    <font>
      <i/>
      <sz val="10"/>
      <color rgb="FF595959"/>
      <name val="Malgun Gothic"/>
      <family val="3"/>
      <charset val="129"/>
    </font>
    <font>
      <sz val="10"/>
      <color rgb="FF595959"/>
      <name val="Malgun Gothic"/>
      <family val="3"/>
      <charset val="129"/>
    </font>
    <font>
      <b/>
      <sz val="16"/>
      <color rgb="FF006100"/>
      <name val="Malgun Gothic"/>
      <family val="3"/>
      <charset val="129"/>
    </font>
    <font>
      <b/>
      <sz val="10"/>
      <color rgb="FF000000"/>
      <name val="Malgun Gothic"/>
      <family val="3"/>
      <charset val="129"/>
    </font>
    <font>
      <sz val="11"/>
      <name val="Carlito"/>
    </font>
    <font>
      <sz val="8"/>
      <name val="돋움"/>
      <family val="3"/>
      <charset val="129"/>
    </font>
    <font>
      <sz val="10"/>
      <color rgb="FF000000"/>
      <name val="맑은 고딕"/>
      <family val="3"/>
      <charset val="129"/>
    </font>
    <font>
      <b/>
      <sz val="15"/>
      <color rgb="FFFFFFFF"/>
      <name val="맑은 고딕"/>
      <family val="3"/>
      <charset val="129"/>
    </font>
    <font>
      <i/>
      <sz val="9"/>
      <color rgb="FF666666"/>
      <name val="맑은 고딕"/>
      <family val="3"/>
      <charset val="129"/>
    </font>
    <font>
      <b/>
      <sz val="10"/>
      <color rgb="FFFFFFFF"/>
      <name val="맑은 고딕"/>
      <family val="3"/>
      <charset val="129"/>
    </font>
    <font>
      <b/>
      <sz val="10"/>
      <color rgb="FF000000"/>
      <name val="맑은 고딕"/>
      <family val="3"/>
      <charset val="129"/>
    </font>
    <font>
      <b/>
      <sz val="11"/>
      <color rgb="FF000000"/>
      <name val="맑은 고딕"/>
      <family val="3"/>
      <charset val="129"/>
    </font>
    <font>
      <sz val="9"/>
      <color rgb="FF000000"/>
      <name val="맑은 고딕"/>
      <family val="3"/>
      <charset val="129"/>
    </font>
    <font>
      <sz val="10"/>
      <color rgb="FF0000FF"/>
      <name val="맑은 고딕"/>
      <family val="3"/>
      <charset val="129"/>
    </font>
    <font>
      <sz val="10"/>
      <color rgb="FF008000"/>
      <name val="맑은 고딕"/>
      <family val="3"/>
      <charset val="129"/>
    </font>
    <font>
      <b/>
      <sz val="10"/>
      <color rgb="FF008000"/>
      <name val="맑은 고딕"/>
      <family val="3"/>
      <charset val="129"/>
    </font>
    <font>
      <b/>
      <sz val="10"/>
      <color rgb="FF0000FF"/>
      <name val="맑은 고딕"/>
      <family val="3"/>
      <charset val="129"/>
    </font>
  </fonts>
  <fills count="16">
    <fill>
      <patternFill patternType="none"/>
    </fill>
    <fill>
      <patternFill patternType="gray125"/>
    </fill>
    <fill>
      <patternFill patternType="solid">
        <fgColor rgb="FF17365D"/>
      </patternFill>
    </fill>
    <fill>
      <patternFill patternType="solid">
        <fgColor rgb="FF1F4E78"/>
      </patternFill>
    </fill>
    <fill>
      <patternFill patternType="solid">
        <fgColor rgb="FFEAF3F8"/>
      </patternFill>
    </fill>
    <fill>
      <patternFill patternType="solid">
        <fgColor rgb="FFFFF2CC"/>
      </patternFill>
    </fill>
    <fill>
      <patternFill patternType="solid">
        <fgColor rgb="FFF3F4F6"/>
      </patternFill>
    </fill>
    <fill>
      <patternFill patternType="solid">
        <fgColor rgb="FFE7E6E6"/>
      </patternFill>
    </fill>
    <fill>
      <patternFill patternType="solid">
        <fgColor rgb="FFD9EAF7"/>
      </patternFill>
    </fill>
    <fill>
      <patternFill patternType="solid">
        <fgColor rgb="FFE2F0D9"/>
      </patternFill>
    </fill>
    <fill>
      <patternFill patternType="solid">
        <fgColor rgb="FF17365D"/>
      </patternFill>
    </fill>
    <fill>
      <patternFill patternType="solid">
        <fgColor rgb="FF1F4E78"/>
      </patternFill>
    </fill>
    <fill>
      <patternFill patternType="solid">
        <fgColor rgb="FFD9EAF7"/>
      </patternFill>
    </fill>
    <fill>
      <patternFill patternType="solid">
        <fgColor rgb="FFE2F0D9"/>
      </patternFill>
    </fill>
    <fill>
      <patternFill patternType="solid">
        <fgColor rgb="FFEAF3F8"/>
      </patternFill>
    </fill>
    <fill>
      <patternFill patternType="solid">
        <fgColor rgb="FFFFF2CC"/>
      </patternFill>
    </fill>
  </fills>
  <borders count="15">
    <border>
      <left/>
      <right/>
      <top/>
      <bottom/>
      <diagonal/>
    </border>
    <border>
      <left/>
      <right/>
      <top/>
      <bottom style="thin">
        <color rgb="FF595959"/>
      </bottom>
      <diagonal/>
    </border>
    <border>
      <left/>
      <right/>
      <top style="thin">
        <color rgb="FF000000"/>
      </top>
      <bottom/>
      <diagonal/>
    </border>
    <border>
      <left style="medium">
        <color rgb="FF17365D"/>
      </left>
      <right/>
      <top style="medium">
        <color rgb="FF17365D"/>
      </top>
      <bottom style="medium">
        <color rgb="FF17365D"/>
      </bottom>
      <diagonal/>
    </border>
    <border>
      <left/>
      <right style="medium">
        <color rgb="FF17365D"/>
      </right>
      <top style="medium">
        <color rgb="FF17365D"/>
      </top>
      <bottom style="medium">
        <color rgb="FF17365D"/>
      </bottom>
      <diagonal/>
    </border>
    <border>
      <left style="medium">
        <color rgb="FF17365D"/>
      </left>
      <right style="medium">
        <color rgb="FF17365D"/>
      </right>
      <top style="medium">
        <color rgb="FF17365D"/>
      </top>
      <bottom style="medium">
        <color rgb="FF17365D"/>
      </bottom>
      <diagonal/>
    </border>
    <border>
      <left style="medium">
        <color rgb="FF17365D"/>
      </left>
      <right/>
      <top style="medium">
        <color rgb="FF17365D"/>
      </top>
      <bottom/>
      <diagonal/>
    </border>
    <border>
      <left/>
      <right style="medium">
        <color rgb="FF17365D"/>
      </right>
      <top style="medium">
        <color rgb="FF17365D"/>
      </top>
      <bottom/>
      <diagonal/>
    </border>
    <border>
      <left style="medium">
        <color rgb="FF17365D"/>
      </left>
      <right/>
      <top/>
      <bottom/>
      <diagonal/>
    </border>
    <border>
      <left/>
      <right style="medium">
        <color rgb="FF17365D"/>
      </right>
      <top/>
      <bottom/>
      <diagonal/>
    </border>
    <border>
      <left style="medium">
        <color rgb="FF17365D"/>
      </left>
      <right/>
      <top/>
      <bottom style="medium">
        <color rgb="FF17365D"/>
      </bottom>
      <diagonal/>
    </border>
    <border>
      <left/>
      <right style="medium">
        <color rgb="FF17365D"/>
      </right>
      <top/>
      <bottom style="medium">
        <color rgb="FF17365D"/>
      </bottom>
      <diagonal/>
    </border>
    <border>
      <left style="thin">
        <color rgb="FF9EADBA"/>
      </left>
      <right/>
      <top style="thin">
        <color rgb="FF9EADBA"/>
      </top>
      <bottom style="thin">
        <color rgb="FF9EADBA"/>
      </bottom>
      <diagonal/>
    </border>
    <border>
      <left/>
      <right/>
      <top style="thin">
        <color rgb="FF9EADBA"/>
      </top>
      <bottom style="thin">
        <color rgb="FF9EADBA"/>
      </bottom>
      <diagonal/>
    </border>
    <border>
      <left/>
      <right style="thin">
        <color rgb="FF9EADBA"/>
      </right>
      <top style="thin">
        <color rgb="FF9EADBA"/>
      </top>
      <bottom style="thin">
        <color rgb="FF9EADBA"/>
      </bottom>
      <diagonal/>
    </border>
  </borders>
  <cellStyleXfs count="2">
    <xf numFmtId="0" fontId="0" fillId="0" borderId="0"/>
    <xf numFmtId="0" fontId="12" fillId="0" borderId="0"/>
  </cellStyleXfs>
  <cellXfs count="115">
    <xf numFmtId="0" fontId="0" fillId="0" borderId="0" xfId="0"/>
    <xf numFmtId="0" fontId="1" fillId="0" borderId="0" xfId="1" applyFont="1" applyAlignment="1">
      <alignment vertical="center"/>
    </xf>
    <xf numFmtId="0" fontId="3" fillId="3" borderId="0" xfId="1" applyFont="1" applyFill="1" applyAlignment="1">
      <alignment vertical="center"/>
    </xf>
    <xf numFmtId="0" fontId="4" fillId="0" borderId="0" xfId="1" applyFont="1" applyAlignment="1">
      <alignment vertical="center"/>
    </xf>
    <xf numFmtId="176" fontId="1" fillId="0" borderId="0" xfId="1" applyNumberFormat="1" applyFont="1" applyAlignment="1">
      <alignment vertical="center"/>
    </xf>
    <xf numFmtId="0" fontId="1" fillId="4" borderId="0" xfId="1" applyFont="1" applyFill="1" applyAlignment="1">
      <alignment vertical="center" wrapText="1"/>
    </xf>
    <xf numFmtId="0" fontId="5" fillId="0" borderId="0" xfId="1" applyFont="1" applyAlignment="1">
      <alignment vertical="center"/>
    </xf>
    <xf numFmtId="0" fontId="6" fillId="0" borderId="0" xfId="1" applyFont="1" applyAlignment="1">
      <alignment vertical="center"/>
    </xf>
    <xf numFmtId="0" fontId="7" fillId="0" borderId="0" xfId="1" applyFont="1" applyAlignment="1">
      <alignment vertical="center"/>
    </xf>
    <xf numFmtId="178" fontId="6" fillId="0" borderId="0" xfId="1" applyNumberFormat="1" applyFont="1" applyAlignment="1">
      <alignment vertical="center"/>
    </xf>
    <xf numFmtId="179" fontId="6" fillId="0" borderId="0" xfId="1" applyNumberFormat="1" applyFont="1" applyAlignment="1">
      <alignment vertical="center"/>
    </xf>
    <xf numFmtId="181" fontId="6" fillId="0" borderId="0" xfId="1" applyNumberFormat="1" applyFont="1" applyAlignment="1">
      <alignment vertical="center"/>
    </xf>
    <xf numFmtId="183" fontId="6" fillId="0" borderId="0" xfId="1" applyNumberFormat="1" applyFont="1" applyAlignment="1">
      <alignment vertical="center"/>
    </xf>
    <xf numFmtId="178" fontId="3" fillId="2" borderId="0" xfId="1" applyNumberFormat="1" applyFont="1" applyFill="1" applyAlignment="1">
      <alignment vertical="center"/>
    </xf>
    <xf numFmtId="49" fontId="11" fillId="0" borderId="1" xfId="1" applyNumberFormat="1" applyFont="1" applyBorder="1" applyAlignment="1">
      <alignment horizontal="left" vertical="center"/>
    </xf>
    <xf numFmtId="177" fontId="11" fillId="7" borderId="1" xfId="1" applyNumberFormat="1" applyFont="1" applyFill="1" applyBorder="1" applyAlignment="1">
      <alignment horizontal="right" vertical="center"/>
    </xf>
    <xf numFmtId="180" fontId="11" fillId="8" borderId="1" xfId="1" applyNumberFormat="1" applyFont="1" applyFill="1" applyBorder="1" applyAlignment="1">
      <alignment horizontal="right" vertical="center"/>
    </xf>
    <xf numFmtId="0" fontId="11" fillId="7" borderId="1" xfId="1" applyFont="1" applyFill="1" applyBorder="1" applyAlignment="1">
      <alignment vertical="center"/>
    </xf>
    <xf numFmtId="179" fontId="1" fillId="0" borderId="0" xfId="1" applyNumberFormat="1" applyFont="1" applyAlignment="1">
      <alignment vertical="center"/>
    </xf>
    <xf numFmtId="179" fontId="5" fillId="5" borderId="0" xfId="1" applyNumberFormat="1" applyFont="1" applyFill="1" applyAlignment="1">
      <alignment vertical="center"/>
    </xf>
    <xf numFmtId="0" fontId="1" fillId="0" borderId="0" xfId="1" applyFont="1" applyAlignment="1">
      <alignment vertical="center" wrapText="1"/>
    </xf>
    <xf numFmtId="178" fontId="1" fillId="0" borderId="0" xfId="1" applyNumberFormat="1" applyFont="1" applyAlignment="1">
      <alignment vertical="center"/>
    </xf>
    <xf numFmtId="178" fontId="5" fillId="5" borderId="0" xfId="1" applyNumberFormat="1" applyFont="1" applyFill="1" applyAlignment="1">
      <alignment vertical="center"/>
    </xf>
    <xf numFmtId="181" fontId="1" fillId="0" borderId="0" xfId="1" applyNumberFormat="1" applyFont="1" applyAlignment="1">
      <alignment vertical="center"/>
    </xf>
    <xf numFmtId="181" fontId="5" fillId="5" borderId="0" xfId="1" applyNumberFormat="1" applyFont="1" applyFill="1" applyAlignment="1">
      <alignment vertical="center"/>
    </xf>
    <xf numFmtId="182" fontId="5" fillId="5" borderId="0" xfId="1" applyNumberFormat="1" applyFont="1" applyFill="1" applyAlignment="1">
      <alignment vertical="center"/>
    </xf>
    <xf numFmtId="183" fontId="5" fillId="5" borderId="0" xfId="1" applyNumberFormat="1" applyFont="1" applyFill="1" applyAlignment="1">
      <alignment vertical="center"/>
    </xf>
    <xf numFmtId="178" fontId="1" fillId="0" borderId="0" xfId="1" applyNumberFormat="1" applyFont="1" applyAlignment="1">
      <alignment horizontal="right" vertical="center"/>
    </xf>
    <xf numFmtId="0" fontId="11" fillId="0" borderId="2" xfId="1" applyFont="1" applyBorder="1" applyAlignment="1">
      <alignment vertical="center"/>
    </xf>
    <xf numFmtId="178" fontId="11" fillId="0" borderId="2" xfId="1" applyNumberFormat="1" applyFont="1" applyBorder="1" applyAlignment="1">
      <alignment horizontal="right" vertical="center"/>
    </xf>
    <xf numFmtId="0" fontId="11" fillId="0" borderId="0" xfId="1" applyFont="1" applyAlignment="1">
      <alignment vertical="center"/>
    </xf>
    <xf numFmtId="178" fontId="11" fillId="0" borderId="0" xfId="1" applyNumberFormat="1" applyFont="1" applyAlignment="1">
      <alignment horizontal="right" vertical="center"/>
    </xf>
    <xf numFmtId="0" fontId="1" fillId="0" borderId="0" xfId="1" applyFont="1" applyAlignment="1">
      <alignment horizontal="right" vertical="center"/>
    </xf>
    <xf numFmtId="179" fontId="1" fillId="0" borderId="0" xfId="1" applyNumberFormat="1" applyFont="1" applyAlignment="1">
      <alignment horizontal="right" vertical="center"/>
    </xf>
    <xf numFmtId="49" fontId="11" fillId="0" borderId="1" xfId="1" applyNumberFormat="1" applyFont="1" applyBorder="1" applyAlignment="1">
      <alignment horizontal="right" vertical="center"/>
    </xf>
    <xf numFmtId="178" fontId="11" fillId="0" borderId="2" xfId="1" applyNumberFormat="1" applyFont="1" applyBorder="1" applyAlignment="1">
      <alignment vertical="center"/>
    </xf>
    <xf numFmtId="182" fontId="6" fillId="0" borderId="0" xfId="1" applyNumberFormat="1" applyFont="1" applyAlignment="1">
      <alignment vertical="center"/>
    </xf>
    <xf numFmtId="179" fontId="11" fillId="0" borderId="2" xfId="1" applyNumberFormat="1" applyFont="1" applyBorder="1" applyAlignment="1">
      <alignment vertical="center"/>
    </xf>
    <xf numFmtId="184" fontId="1" fillId="0" borderId="0" xfId="1" applyNumberFormat="1" applyFont="1" applyAlignment="1">
      <alignment vertical="center"/>
    </xf>
    <xf numFmtId="179" fontId="11" fillId="7" borderId="0" xfId="1" applyNumberFormat="1" applyFont="1" applyFill="1" applyAlignment="1">
      <alignment horizontal="right" vertical="center"/>
    </xf>
    <xf numFmtId="179" fontId="11" fillId="7" borderId="0" xfId="1" applyNumberFormat="1" applyFont="1" applyFill="1" applyAlignment="1">
      <alignment vertical="center"/>
    </xf>
    <xf numFmtId="178" fontId="3" fillId="2" borderId="5" xfId="1" applyNumberFormat="1" applyFont="1" applyFill="1" applyBorder="1" applyAlignment="1">
      <alignment vertical="center"/>
    </xf>
    <xf numFmtId="185" fontId="1" fillId="0" borderId="0" xfId="1" applyNumberFormat="1" applyFont="1" applyAlignment="1">
      <alignment vertical="center"/>
    </xf>
    <xf numFmtId="0" fontId="14" fillId="0" borderId="0" xfId="0" applyFont="1"/>
    <xf numFmtId="0" fontId="15" fillId="10" borderId="0" xfId="0" applyFont="1" applyFill="1" applyAlignment="1">
      <alignment vertical="center"/>
    </xf>
    <xf numFmtId="0" fontId="16" fillId="0" borderId="0" xfId="0" applyFont="1"/>
    <xf numFmtId="0" fontId="17" fillId="11" borderId="0" xfId="0" applyFont="1" applyFill="1" applyAlignment="1">
      <alignment vertical="center"/>
    </xf>
    <xf numFmtId="0" fontId="18" fillId="12" borderId="12" xfId="0" applyFont="1" applyFill="1" applyBorder="1" applyAlignment="1">
      <alignment horizontal="center" vertical="center"/>
    </xf>
    <xf numFmtId="0" fontId="18" fillId="12" borderId="13" xfId="0" applyFont="1" applyFill="1" applyBorder="1" applyAlignment="1">
      <alignment horizontal="center" vertical="center"/>
    </xf>
    <xf numFmtId="0" fontId="18" fillId="12" borderId="14" xfId="0" applyFont="1" applyFill="1" applyBorder="1" applyAlignment="1">
      <alignment horizontal="center" vertical="center"/>
    </xf>
    <xf numFmtId="0" fontId="18" fillId="0" borderId="0" xfId="0" applyFont="1"/>
    <xf numFmtId="0" fontId="18" fillId="13" borderId="0" xfId="0" applyFont="1" applyFill="1"/>
    <xf numFmtId="0" fontId="18" fillId="14" borderId="0" xfId="0" applyFont="1" applyFill="1"/>
    <xf numFmtId="0" fontId="20" fillId="15" borderId="0" xfId="0" applyFont="1" applyFill="1" applyAlignment="1">
      <alignment wrapText="1"/>
    </xf>
    <xf numFmtId="178" fontId="14" fillId="0" borderId="0" xfId="0" applyNumberFormat="1" applyFont="1"/>
    <xf numFmtId="179" fontId="14" fillId="0" borderId="0" xfId="0" applyNumberFormat="1" applyFont="1"/>
    <xf numFmtId="178" fontId="18" fillId="0" borderId="0" xfId="0" applyNumberFormat="1" applyFont="1"/>
    <xf numFmtId="178" fontId="17" fillId="11" borderId="0" xfId="0" applyNumberFormat="1" applyFont="1" applyFill="1" applyAlignment="1">
      <alignment vertical="center"/>
    </xf>
    <xf numFmtId="178" fontId="18" fillId="12" borderId="13" xfId="0" applyNumberFormat="1" applyFont="1" applyFill="1" applyBorder="1" applyAlignment="1">
      <alignment horizontal="center" vertical="center"/>
    </xf>
    <xf numFmtId="178" fontId="18" fillId="13" borderId="0" xfId="0" applyNumberFormat="1" applyFont="1" applyFill="1"/>
    <xf numFmtId="179" fontId="18" fillId="0" borderId="0" xfId="0" applyNumberFormat="1" applyFont="1"/>
    <xf numFmtId="179" fontId="17" fillId="11" borderId="0" xfId="0" applyNumberFormat="1" applyFont="1" applyFill="1" applyAlignment="1">
      <alignment vertical="center"/>
    </xf>
    <xf numFmtId="179" fontId="18" fillId="12" borderId="13" xfId="0" applyNumberFormat="1" applyFont="1" applyFill="1" applyBorder="1" applyAlignment="1">
      <alignment horizontal="center" vertical="center"/>
    </xf>
    <xf numFmtId="178" fontId="19" fillId="13" borderId="0" xfId="0" applyNumberFormat="1" applyFont="1" applyFill="1"/>
    <xf numFmtId="178" fontId="21" fillId="15" borderId="0" xfId="0" applyNumberFormat="1" applyFont="1" applyFill="1"/>
    <xf numFmtId="179" fontId="21" fillId="15" borderId="0" xfId="0" applyNumberFormat="1" applyFont="1" applyFill="1"/>
    <xf numFmtId="186" fontId="21" fillId="15" borderId="0" xfId="0" applyNumberFormat="1" applyFont="1" applyFill="1"/>
    <xf numFmtId="9" fontId="21" fillId="15" borderId="0" xfId="0" applyNumberFormat="1" applyFont="1" applyFill="1"/>
    <xf numFmtId="178" fontId="22" fillId="0" borderId="0" xfId="0" applyNumberFormat="1" applyFont="1"/>
    <xf numFmtId="178" fontId="23" fillId="0" borderId="0" xfId="0" applyNumberFormat="1" applyFont="1"/>
    <xf numFmtId="9" fontId="24" fillId="15" borderId="0" xfId="0" applyNumberFormat="1" applyFont="1" applyFill="1"/>
    <xf numFmtId="0" fontId="20" fillId="14" borderId="0" xfId="0" applyFont="1" applyFill="1" applyAlignment="1">
      <alignment vertical="center" wrapText="1"/>
    </xf>
    <xf numFmtId="178" fontId="1" fillId="0" borderId="0" xfId="0" applyNumberFormat="1" applyFont="1" applyAlignment="1">
      <alignment vertical="center"/>
    </xf>
    <xf numFmtId="179" fontId="1" fillId="0" borderId="0" xfId="0" applyNumberFormat="1" applyFont="1" applyAlignment="1">
      <alignment vertical="center"/>
    </xf>
    <xf numFmtId="0" fontId="20" fillId="0" borderId="0" xfId="0" applyFont="1" applyAlignment="1">
      <alignment vertical="center"/>
    </xf>
    <xf numFmtId="0" fontId="14" fillId="0" borderId="0" xfId="0" applyFont="1" applyAlignment="1">
      <alignment vertical="center"/>
    </xf>
    <xf numFmtId="178" fontId="14" fillId="0" borderId="0" xfId="0" applyNumberFormat="1" applyFont="1" applyAlignment="1">
      <alignment vertical="center"/>
    </xf>
    <xf numFmtId="181" fontId="14" fillId="0" borderId="0" xfId="0" applyNumberFormat="1" applyFont="1" applyAlignment="1">
      <alignment vertical="center"/>
    </xf>
    <xf numFmtId="0" fontId="18" fillId="9" borderId="3" xfId="0" applyFont="1" applyFill="1" applyBorder="1" applyAlignment="1">
      <alignment vertical="center"/>
    </xf>
    <xf numFmtId="178" fontId="18" fillId="9" borderId="4" xfId="0" applyNumberFormat="1" applyFont="1" applyFill="1" applyBorder="1" applyAlignment="1">
      <alignment vertical="center"/>
    </xf>
    <xf numFmtId="179" fontId="14" fillId="0" borderId="0" xfId="0" applyNumberFormat="1" applyFont="1" applyAlignment="1">
      <alignment vertical="center"/>
    </xf>
    <xf numFmtId="3" fontId="14" fillId="0" borderId="0" xfId="0" applyNumberFormat="1" applyFont="1" applyAlignment="1">
      <alignment vertical="center"/>
    </xf>
    <xf numFmtId="187" fontId="14" fillId="0" borderId="0" xfId="0" applyNumberFormat="1" applyFont="1" applyAlignment="1">
      <alignment vertical="center"/>
    </xf>
    <xf numFmtId="0" fontId="19" fillId="13" borderId="0" xfId="0" applyFont="1" applyFill="1" applyAlignment="1">
      <alignment vertical="center"/>
    </xf>
    <xf numFmtId="3" fontId="19" fillId="13" borderId="0" xfId="0" applyNumberFormat="1" applyFont="1" applyFill="1" applyAlignment="1">
      <alignment vertical="center"/>
    </xf>
    <xf numFmtId="0" fontId="18" fillId="0" borderId="2" xfId="0" applyFont="1" applyBorder="1" applyAlignment="1">
      <alignment vertical="center"/>
    </xf>
    <xf numFmtId="178" fontId="18" fillId="0" borderId="2" xfId="0" applyNumberFormat="1" applyFont="1" applyBorder="1" applyAlignment="1">
      <alignment vertical="center"/>
    </xf>
    <xf numFmtId="0" fontId="19" fillId="13" borderId="3" xfId="0" applyFont="1" applyFill="1" applyBorder="1" applyAlignment="1">
      <alignment vertical="center"/>
    </xf>
    <xf numFmtId="3" fontId="19" fillId="13" borderId="4" xfId="0" applyNumberFormat="1" applyFont="1" applyFill="1" applyBorder="1" applyAlignment="1">
      <alignment vertical="center"/>
    </xf>
    <xf numFmtId="0" fontId="8" fillId="6" borderId="0" xfId="1" applyFont="1" applyFill="1" applyAlignment="1">
      <alignment vertical="center" wrapText="1"/>
    </xf>
    <xf numFmtId="0" fontId="2" fillId="2" borderId="0" xfId="1" applyFont="1" applyFill="1" applyAlignment="1">
      <alignment horizontal="left" vertical="center"/>
    </xf>
    <xf numFmtId="0" fontId="3" fillId="3" borderId="0" xfId="1" applyFont="1" applyFill="1" applyAlignment="1">
      <alignment vertical="center"/>
    </xf>
    <xf numFmtId="0" fontId="1" fillId="4" borderId="0" xfId="1" applyFont="1" applyFill="1" applyAlignment="1">
      <alignment vertical="center" wrapText="1"/>
    </xf>
    <xf numFmtId="0" fontId="1" fillId="5" borderId="0" xfId="1" applyFont="1" applyFill="1" applyAlignment="1">
      <alignment vertical="center" wrapText="1"/>
    </xf>
    <xf numFmtId="0" fontId="17" fillId="11" borderId="0" xfId="0" applyFont="1" applyFill="1" applyAlignment="1">
      <alignment vertical="center"/>
    </xf>
    <xf numFmtId="0" fontId="14" fillId="6" borderId="0" xfId="0" applyFont="1" applyFill="1" applyAlignment="1">
      <alignment vertical="center" wrapText="1"/>
    </xf>
    <xf numFmtId="0" fontId="9" fillId="6" borderId="0" xfId="1" applyFont="1" applyFill="1" applyAlignment="1">
      <alignment vertical="center" wrapText="1"/>
    </xf>
    <xf numFmtId="0" fontId="3" fillId="3" borderId="0" xfId="1" applyFont="1" applyFill="1" applyAlignment="1">
      <alignment horizontal="left" vertical="center"/>
    </xf>
    <xf numFmtId="0" fontId="3" fillId="3" borderId="0" xfId="1" applyFont="1" applyFill="1" applyAlignment="1">
      <alignment horizontal="center" vertical="center"/>
    </xf>
    <xf numFmtId="0" fontId="10" fillId="9" borderId="6" xfId="1" applyFont="1" applyFill="1" applyBorder="1" applyAlignment="1">
      <alignment horizontal="center" vertical="center"/>
    </xf>
    <xf numFmtId="0" fontId="10" fillId="9" borderId="7" xfId="1" applyFont="1" applyFill="1" applyBorder="1" applyAlignment="1">
      <alignment horizontal="center" vertical="center"/>
    </xf>
    <xf numFmtId="0" fontId="10" fillId="9" borderId="8" xfId="1" applyFont="1" applyFill="1" applyBorder="1" applyAlignment="1">
      <alignment horizontal="center" vertical="center"/>
    </xf>
    <xf numFmtId="0" fontId="10" fillId="9" borderId="9" xfId="1" applyFont="1" applyFill="1" applyBorder="1" applyAlignment="1">
      <alignment horizontal="center" vertical="center"/>
    </xf>
    <xf numFmtId="0" fontId="10" fillId="9" borderId="10" xfId="1" applyFont="1" applyFill="1" applyBorder="1" applyAlignment="1">
      <alignment horizontal="center" vertical="center"/>
    </xf>
    <xf numFmtId="0" fontId="10" fillId="9" borderId="11" xfId="1" applyFont="1" applyFill="1" applyBorder="1" applyAlignment="1">
      <alignment horizontal="center" vertical="center"/>
    </xf>
    <xf numFmtId="0" fontId="17" fillId="11" borderId="0" xfId="0" applyFont="1" applyFill="1" applyAlignment="1">
      <alignment horizontal="left" vertical="center"/>
    </xf>
    <xf numFmtId="0" fontId="14" fillId="14" borderId="0" xfId="0" applyFont="1" applyFill="1" applyAlignment="1">
      <alignment vertical="top" wrapText="1"/>
    </xf>
    <xf numFmtId="0" fontId="3" fillId="3" borderId="0" xfId="1" applyFont="1" applyFill="1" applyAlignment="1">
      <alignment horizontal="left" vertical="center" wrapText="1"/>
    </xf>
    <xf numFmtId="0" fontId="3" fillId="3" borderId="0" xfId="1" applyFont="1" applyFill="1" applyAlignment="1">
      <alignment horizontal="right" vertical="center"/>
    </xf>
    <xf numFmtId="0" fontId="3" fillId="4" borderId="0" xfId="1" applyFont="1" applyFill="1" applyAlignment="1">
      <alignment horizontal="left" vertical="center" wrapText="1"/>
    </xf>
    <xf numFmtId="0" fontId="18" fillId="3" borderId="0" xfId="0" applyFont="1" applyFill="1" applyAlignment="1">
      <alignment horizontal="left" vertical="center"/>
    </xf>
    <xf numFmtId="178" fontId="18" fillId="3" borderId="0" xfId="0" applyNumberFormat="1" applyFont="1" applyFill="1" applyAlignment="1">
      <alignment horizontal="left" vertical="center"/>
    </xf>
    <xf numFmtId="0" fontId="20" fillId="14" borderId="0" xfId="0" applyFont="1" applyFill="1" applyAlignment="1">
      <alignment vertical="center" wrapText="1"/>
    </xf>
    <xf numFmtId="0" fontId="15" fillId="10" borderId="0" xfId="0" applyFont="1" applyFill="1" applyAlignment="1">
      <alignment horizontal="left" vertical="center"/>
    </xf>
    <xf numFmtId="0" fontId="17" fillId="11" borderId="0" xfId="0" applyFont="1" applyFill="1" applyAlignment="1">
      <alignment vertical="center" wrapText="1"/>
    </xf>
  </cellXfs>
  <cellStyles count="2">
    <cellStyle name="Normal" xfId="1" xr:uid="{00000000-0005-0000-0000-000000000000}"/>
    <cellStyle name="표준" xfId="0" builtinId="0"/>
  </cellStyles>
  <dxfs count="9">
    <dxf>
      <font>
        <b/>
        <color rgb="FFC00000"/>
      </font>
      <fill>
        <patternFill>
          <bgColor rgb="FFFCE4D6"/>
        </patternFill>
      </fill>
    </dxf>
    <dxf>
      <font>
        <b/>
        <color rgb="FF9C0006"/>
      </font>
      <fill>
        <patternFill>
          <bgColor rgb="FFFCE4D6"/>
        </patternFill>
      </fill>
    </dxf>
    <dxf>
      <font>
        <b/>
        <color rgb="FF006100"/>
      </font>
      <fill>
        <patternFill>
          <bgColor rgb="FFE2F0D9"/>
        </patternFill>
      </fill>
    </dxf>
    <dxf>
      <font>
        <b/>
        <color rgb="FF9C0006"/>
      </font>
      <fill>
        <patternFill>
          <bgColor rgb="FFFCE4D6"/>
        </patternFill>
      </fill>
    </dxf>
    <dxf>
      <font>
        <b/>
        <color rgb="FF006100"/>
      </font>
      <fill>
        <patternFill>
          <bgColor rgb="FFE2F0D9"/>
        </patternFill>
      </fill>
    </dxf>
    <dxf>
      <font>
        <b/>
        <color rgb="FF9C0006"/>
      </font>
      <fill>
        <patternFill>
          <bgColor rgb="FFFCE4D6"/>
        </patternFill>
      </fill>
    </dxf>
    <dxf>
      <font>
        <b/>
        <color rgb="FF006100"/>
      </font>
      <fill>
        <patternFill>
          <bgColor rgb="FFE2F0D9"/>
        </patternFill>
      </fill>
    </dxf>
    <dxf>
      <font>
        <b/>
        <color rgb="FF9C0006"/>
      </font>
      <fill>
        <patternFill>
          <bgColor rgb="FFFCE4D6"/>
        </patternFill>
      </fill>
    </dxf>
    <dxf>
      <font>
        <b/>
        <color rgb="FF006100"/>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
  <sheetViews>
    <sheetView showGridLines="0" tabSelected="1" workbookViewId="0"/>
  </sheetViews>
  <sheetFormatPr defaultRowHeight="14.25"/>
  <cols>
    <col min="1" max="1" width="3" customWidth="1"/>
    <col min="2" max="2" width="27" customWidth="1"/>
    <col min="3" max="3" width="34" customWidth="1"/>
    <col min="4" max="4" width="3" customWidth="1"/>
    <col min="5" max="8" width="15" customWidth="1"/>
    <col min="9" max="10" width="13" customWidth="1"/>
    <col min="11" max="11" width="3" customWidth="1"/>
    <col min="12" max="14" width="20" customWidth="1"/>
  </cols>
  <sheetData>
    <row r="1" spans="1:14" ht="18" customHeight="1">
      <c r="A1" s="1"/>
      <c r="B1" s="90" t="s">
        <v>0</v>
      </c>
      <c r="C1" s="90" t="s">
        <v>1</v>
      </c>
      <c r="D1" s="90" t="s">
        <v>1</v>
      </c>
      <c r="E1" s="90" t="s">
        <v>1</v>
      </c>
      <c r="F1" s="90" t="s">
        <v>1</v>
      </c>
      <c r="G1" s="90" t="s">
        <v>1</v>
      </c>
      <c r="H1" s="90" t="s">
        <v>1</v>
      </c>
      <c r="I1" s="1"/>
      <c r="J1" s="1"/>
      <c r="K1" s="1"/>
      <c r="L1" s="1"/>
      <c r="M1" s="1"/>
      <c r="N1" s="1"/>
    </row>
    <row r="2" spans="1:14" ht="18" customHeight="1">
      <c r="A2" s="1"/>
      <c r="B2" s="90" t="s">
        <v>1</v>
      </c>
      <c r="C2" s="90" t="s">
        <v>1</v>
      </c>
      <c r="D2" s="90" t="s">
        <v>1</v>
      </c>
      <c r="E2" s="90" t="s">
        <v>1</v>
      </c>
      <c r="F2" s="90" t="s">
        <v>1</v>
      </c>
      <c r="G2" s="90" t="s">
        <v>1</v>
      </c>
      <c r="H2" s="90" t="s">
        <v>1</v>
      </c>
      <c r="I2" s="1"/>
      <c r="J2" s="1"/>
      <c r="K2" s="1"/>
      <c r="L2" s="1"/>
      <c r="M2" s="1"/>
      <c r="N2" s="1"/>
    </row>
    <row r="3" spans="1:14" ht="18" customHeight="1">
      <c r="A3" s="1"/>
      <c r="B3" s="1"/>
      <c r="C3" s="1"/>
      <c r="D3" s="1"/>
      <c r="E3" s="1"/>
      <c r="F3" s="1"/>
      <c r="G3" s="1"/>
      <c r="H3" s="1"/>
      <c r="I3" s="1"/>
      <c r="J3" s="1"/>
      <c r="K3" s="1"/>
      <c r="L3" s="1"/>
      <c r="M3" s="1"/>
      <c r="N3" s="1"/>
    </row>
    <row r="4" spans="1:14" ht="18" customHeight="1">
      <c r="A4" s="1"/>
      <c r="B4" s="2" t="s">
        <v>2</v>
      </c>
      <c r="C4" s="2" t="s">
        <v>3</v>
      </c>
      <c r="D4" s="1"/>
      <c r="E4" s="1"/>
      <c r="F4" s="1"/>
      <c r="G4" s="1"/>
      <c r="H4" s="1"/>
      <c r="I4" s="1"/>
      <c r="J4" s="1"/>
      <c r="K4" s="1"/>
      <c r="L4" s="1"/>
      <c r="M4" s="1"/>
      <c r="N4" s="1"/>
    </row>
    <row r="5" spans="1:14" ht="18" customHeight="1">
      <c r="A5" s="1"/>
      <c r="B5" s="3" t="s">
        <v>4</v>
      </c>
      <c r="C5" s="1" t="s">
        <v>5</v>
      </c>
      <c r="D5" s="1"/>
      <c r="E5" s="1"/>
      <c r="F5" s="1"/>
      <c r="G5" s="1"/>
      <c r="H5" s="1"/>
      <c r="I5" s="1"/>
      <c r="J5" s="1"/>
      <c r="K5" s="1"/>
      <c r="L5" s="1"/>
      <c r="M5" s="1"/>
      <c r="N5" s="1"/>
    </row>
    <row r="6" spans="1:14" ht="18" customHeight="1">
      <c r="A6" s="1"/>
      <c r="B6" s="3" t="s">
        <v>6</v>
      </c>
      <c r="C6" s="1" t="s">
        <v>7</v>
      </c>
      <c r="D6" s="1"/>
      <c r="E6" s="1"/>
      <c r="F6" s="1"/>
      <c r="G6" s="1"/>
      <c r="H6" s="1"/>
      <c r="I6" s="1"/>
      <c r="J6" s="1"/>
      <c r="K6" s="1"/>
      <c r="L6" s="1"/>
      <c r="M6" s="1"/>
      <c r="N6" s="1"/>
    </row>
    <row r="7" spans="1:14" ht="18" customHeight="1">
      <c r="A7" s="1"/>
      <c r="B7" s="3" t="s">
        <v>8</v>
      </c>
      <c r="C7" s="4">
        <v>46022</v>
      </c>
      <c r="D7" s="1"/>
      <c r="E7" s="1"/>
      <c r="F7" s="1"/>
      <c r="G7" s="1"/>
      <c r="H7" s="1"/>
      <c r="I7" s="1"/>
      <c r="J7" s="1"/>
      <c r="K7" s="1"/>
      <c r="L7" s="1"/>
      <c r="M7" s="1"/>
      <c r="N7" s="1"/>
    </row>
    <row r="8" spans="1:14" ht="18" customHeight="1">
      <c r="A8" s="1"/>
      <c r="B8" s="3" t="s">
        <v>9</v>
      </c>
      <c r="C8" s="4">
        <v>46099</v>
      </c>
      <c r="D8" s="1"/>
      <c r="E8" s="1"/>
      <c r="F8" s="1"/>
      <c r="G8" s="1"/>
      <c r="H8" s="1"/>
      <c r="I8" s="1"/>
      <c r="J8" s="1"/>
      <c r="K8" s="1"/>
      <c r="L8" s="1"/>
      <c r="M8" s="1"/>
      <c r="N8" s="1"/>
    </row>
    <row r="9" spans="1:14" ht="18" customHeight="1">
      <c r="A9" s="1"/>
      <c r="B9" s="3" t="s">
        <v>10</v>
      </c>
      <c r="C9" s="1" t="s">
        <v>11</v>
      </c>
      <c r="D9" s="1"/>
      <c r="E9" s="1"/>
      <c r="F9" s="1"/>
      <c r="G9" s="1"/>
      <c r="H9" s="1"/>
      <c r="I9" s="1"/>
      <c r="J9" s="1"/>
      <c r="K9" s="1"/>
      <c r="L9" s="1"/>
      <c r="M9" s="1"/>
      <c r="N9" s="1"/>
    </row>
    <row r="10" spans="1:14" ht="18" customHeight="1">
      <c r="A10" s="1"/>
      <c r="B10" s="3" t="s">
        <v>12</v>
      </c>
      <c r="C10" s="1" t="s">
        <v>13</v>
      </c>
      <c r="D10" s="1"/>
      <c r="E10" s="1"/>
      <c r="F10" s="1"/>
      <c r="G10" s="1"/>
      <c r="H10" s="1"/>
      <c r="I10" s="1"/>
      <c r="J10" s="1"/>
      <c r="K10" s="1"/>
      <c r="L10" s="1"/>
      <c r="M10" s="1"/>
      <c r="N10" s="1"/>
    </row>
    <row r="11" spans="1:14" ht="18" customHeight="1">
      <c r="A11" s="1"/>
      <c r="B11" s="3" t="s">
        <v>14</v>
      </c>
      <c r="C11" s="1" t="s">
        <v>15</v>
      </c>
      <c r="D11" s="1"/>
      <c r="E11" s="1"/>
      <c r="F11" s="1"/>
      <c r="G11" s="1"/>
      <c r="H11" s="1"/>
      <c r="I11" s="1"/>
      <c r="J11" s="1"/>
      <c r="K11" s="1"/>
      <c r="L11" s="1"/>
      <c r="M11" s="1"/>
      <c r="N11" s="1"/>
    </row>
    <row r="12" spans="1:14" ht="18" customHeight="1">
      <c r="A12" s="1"/>
      <c r="B12" s="3" t="s">
        <v>16</v>
      </c>
      <c r="C12" s="1" t="s">
        <v>17</v>
      </c>
      <c r="D12" s="1"/>
      <c r="E12" s="1"/>
      <c r="F12" s="1"/>
      <c r="G12" s="1"/>
      <c r="H12" s="1"/>
      <c r="I12" s="1"/>
      <c r="J12" s="1"/>
      <c r="K12" s="1"/>
      <c r="L12" s="1"/>
      <c r="M12" s="1"/>
      <c r="N12" s="1"/>
    </row>
    <row r="13" spans="1:14" ht="18" customHeight="1">
      <c r="A13" s="1"/>
      <c r="B13" s="3" t="s">
        <v>18</v>
      </c>
      <c r="C13" s="1" t="s">
        <v>19</v>
      </c>
      <c r="D13" s="1"/>
      <c r="E13" s="1"/>
      <c r="F13" s="1"/>
      <c r="G13" s="1"/>
      <c r="H13" s="1"/>
      <c r="I13" s="1"/>
      <c r="J13" s="1"/>
      <c r="K13" s="1"/>
      <c r="L13" s="1"/>
      <c r="M13" s="1"/>
      <c r="N13" s="1"/>
    </row>
    <row r="14" spans="1:14" ht="18" customHeight="1">
      <c r="A14" s="1"/>
      <c r="B14" s="3" t="s">
        <v>20</v>
      </c>
      <c r="C14" s="1" t="s">
        <v>21</v>
      </c>
      <c r="D14" s="1"/>
      <c r="E14" s="1"/>
      <c r="F14" s="1"/>
      <c r="G14" s="1"/>
      <c r="H14" s="1"/>
      <c r="I14" s="1"/>
      <c r="J14" s="1"/>
      <c r="K14" s="1"/>
      <c r="L14" s="1"/>
      <c r="M14" s="1"/>
      <c r="N14" s="1"/>
    </row>
    <row r="15" spans="1:14" ht="18" customHeight="1">
      <c r="A15" s="1"/>
      <c r="B15" s="3" t="s">
        <v>22</v>
      </c>
      <c r="C15" s="1" t="s">
        <v>23</v>
      </c>
      <c r="D15" s="1"/>
      <c r="E15" s="1"/>
      <c r="F15" s="1"/>
      <c r="G15" s="1"/>
      <c r="H15" s="1"/>
      <c r="I15" s="1"/>
      <c r="J15" s="1"/>
      <c r="K15" s="1"/>
      <c r="L15" s="1"/>
      <c r="M15" s="1"/>
      <c r="N15" s="1"/>
    </row>
    <row r="16" spans="1:14" ht="18" customHeight="1">
      <c r="A16" s="1"/>
      <c r="B16" s="3" t="s">
        <v>24</v>
      </c>
      <c r="C16" s="1" t="s">
        <v>25</v>
      </c>
      <c r="D16" s="1"/>
      <c r="E16" s="1"/>
      <c r="F16" s="1"/>
      <c r="G16" s="1"/>
      <c r="H16" s="1"/>
      <c r="I16" s="1"/>
      <c r="J16" s="1"/>
      <c r="K16" s="1"/>
      <c r="L16" s="1"/>
      <c r="M16" s="1"/>
      <c r="N16" s="1"/>
    </row>
    <row r="17" spans="1:14" ht="18" customHeight="1">
      <c r="A17" s="1"/>
      <c r="B17" s="1"/>
      <c r="C17" s="1"/>
      <c r="D17" s="1"/>
      <c r="E17" s="1"/>
      <c r="F17" s="1"/>
      <c r="G17" s="1"/>
      <c r="H17" s="1"/>
      <c r="I17" s="1"/>
      <c r="J17" s="1"/>
      <c r="K17" s="1"/>
      <c r="L17" s="1"/>
      <c r="M17" s="1"/>
      <c r="N17" s="1"/>
    </row>
    <row r="18" spans="1:14" ht="18" customHeight="1">
      <c r="A18" s="1"/>
      <c r="B18" s="91" t="s">
        <v>26</v>
      </c>
      <c r="C18" s="91" t="s">
        <v>26</v>
      </c>
      <c r="D18" s="91" t="s">
        <v>26</v>
      </c>
      <c r="E18" s="91" t="s">
        <v>26</v>
      </c>
      <c r="F18" s="91" t="s">
        <v>26</v>
      </c>
      <c r="G18" s="91" t="s">
        <v>26</v>
      </c>
      <c r="H18" s="91" t="s">
        <v>26</v>
      </c>
      <c r="I18" s="1"/>
      <c r="J18" s="1"/>
      <c r="K18" s="1"/>
      <c r="L18" s="1"/>
      <c r="M18" s="1"/>
      <c r="N18" s="1"/>
    </row>
    <row r="19" spans="1:14" ht="33.950000000000003" customHeight="1">
      <c r="A19" s="1"/>
      <c r="B19" s="92" t="s">
        <v>27</v>
      </c>
      <c r="C19" s="92" t="s">
        <v>28</v>
      </c>
      <c r="D19" s="92" t="s">
        <v>28</v>
      </c>
      <c r="E19" s="92" t="s">
        <v>28</v>
      </c>
      <c r="F19" s="92" t="s">
        <v>28</v>
      </c>
      <c r="G19" s="92" t="s">
        <v>28</v>
      </c>
      <c r="H19" s="92" t="s">
        <v>28</v>
      </c>
      <c r="I19" s="1"/>
      <c r="J19" s="1"/>
      <c r="K19" s="1"/>
      <c r="L19" s="1"/>
      <c r="M19" s="1"/>
      <c r="N19" s="1"/>
    </row>
    <row r="20" spans="1:14" ht="33.950000000000003" customHeight="1">
      <c r="A20" s="1"/>
      <c r="B20" s="92" t="s">
        <v>28</v>
      </c>
      <c r="C20" s="92" t="s">
        <v>28</v>
      </c>
      <c r="D20" s="92" t="s">
        <v>28</v>
      </c>
      <c r="E20" s="92" t="s">
        <v>28</v>
      </c>
      <c r="F20" s="92" t="s">
        <v>28</v>
      </c>
      <c r="G20" s="92" t="s">
        <v>28</v>
      </c>
      <c r="H20" s="92" t="s">
        <v>28</v>
      </c>
      <c r="I20" s="1"/>
      <c r="J20" s="1"/>
      <c r="K20" s="1"/>
      <c r="L20" s="1"/>
      <c r="M20" s="1"/>
      <c r="N20" s="1"/>
    </row>
    <row r="21" spans="1:14" ht="33.950000000000003" customHeight="1">
      <c r="A21" s="1"/>
      <c r="B21" s="92" t="s">
        <v>28</v>
      </c>
      <c r="C21" s="92" t="s">
        <v>28</v>
      </c>
      <c r="D21" s="92" t="s">
        <v>28</v>
      </c>
      <c r="E21" s="92" t="s">
        <v>28</v>
      </c>
      <c r="F21" s="92" t="s">
        <v>28</v>
      </c>
      <c r="G21" s="92" t="s">
        <v>28</v>
      </c>
      <c r="H21" s="92" t="s">
        <v>28</v>
      </c>
      <c r="I21" s="1"/>
      <c r="J21" s="1"/>
      <c r="K21" s="1"/>
      <c r="L21" s="1"/>
      <c r="M21" s="1"/>
      <c r="N21" s="1"/>
    </row>
    <row r="22" spans="1:14" ht="18" customHeight="1">
      <c r="A22" s="1"/>
      <c r="B22" s="1"/>
      <c r="C22" s="1"/>
      <c r="D22" s="1"/>
      <c r="E22" s="1"/>
      <c r="F22" s="1"/>
      <c r="G22" s="1"/>
      <c r="H22" s="1"/>
      <c r="I22" s="1"/>
      <c r="J22" s="1"/>
      <c r="K22" s="1"/>
      <c r="L22" s="1"/>
      <c r="M22" s="1"/>
      <c r="N22" s="1"/>
    </row>
    <row r="23" spans="1:14" ht="18" customHeight="1">
      <c r="A23" s="1"/>
      <c r="B23" s="91" t="s">
        <v>29</v>
      </c>
      <c r="C23" s="91" t="s">
        <v>29</v>
      </c>
      <c r="D23" s="91" t="s">
        <v>29</v>
      </c>
      <c r="E23" s="91" t="s">
        <v>29</v>
      </c>
      <c r="F23" s="91" t="s">
        <v>29</v>
      </c>
      <c r="G23" s="91" t="s">
        <v>29</v>
      </c>
      <c r="H23" s="91" t="s">
        <v>29</v>
      </c>
      <c r="I23" s="1"/>
      <c r="J23" s="1"/>
      <c r="K23" s="1"/>
      <c r="L23" s="1"/>
      <c r="M23" s="1"/>
      <c r="N23" s="1"/>
    </row>
    <row r="24" spans="1:14" ht="32.1" customHeight="1">
      <c r="A24" s="1"/>
      <c r="B24" s="6" t="s">
        <v>30</v>
      </c>
      <c r="C24" s="1" t="s">
        <v>31</v>
      </c>
      <c r="D24" s="1"/>
      <c r="E24" s="93" t="s">
        <v>32</v>
      </c>
      <c r="F24" s="93"/>
      <c r="G24" s="93"/>
      <c r="H24" s="93"/>
      <c r="I24" s="1"/>
      <c r="J24" s="1"/>
      <c r="K24" s="1"/>
      <c r="L24" s="1"/>
      <c r="M24" s="1"/>
      <c r="N24" s="1"/>
    </row>
    <row r="25" spans="1:14" ht="32.1" customHeight="1">
      <c r="A25" s="1"/>
      <c r="B25" s="7" t="s">
        <v>33</v>
      </c>
      <c r="C25" s="1" t="s">
        <v>34</v>
      </c>
      <c r="D25" s="1"/>
      <c r="E25" s="93" t="s">
        <v>35</v>
      </c>
      <c r="F25" s="93"/>
      <c r="G25" s="93"/>
      <c r="H25" s="93"/>
      <c r="I25" s="1"/>
      <c r="J25" s="1"/>
      <c r="K25" s="1"/>
      <c r="L25" s="1"/>
      <c r="M25" s="1"/>
      <c r="N25" s="1"/>
    </row>
    <row r="26" spans="1:14" ht="32.1" customHeight="1">
      <c r="A26" s="1"/>
      <c r="B26" s="1" t="s">
        <v>36</v>
      </c>
      <c r="C26" s="1" t="s">
        <v>37</v>
      </c>
      <c r="D26" s="1"/>
      <c r="E26" s="93"/>
      <c r="F26" s="93"/>
      <c r="G26" s="93"/>
      <c r="H26" s="93"/>
      <c r="I26" s="1"/>
      <c r="J26" s="1"/>
      <c r="K26" s="1"/>
      <c r="L26" s="1"/>
      <c r="M26" s="1"/>
      <c r="N26" s="1"/>
    </row>
    <row r="27" spans="1:14" ht="32.1" customHeight="1">
      <c r="A27" s="1"/>
      <c r="B27" s="8" t="s">
        <v>38</v>
      </c>
      <c r="C27" s="1" t="s">
        <v>39</v>
      </c>
      <c r="D27" s="1"/>
      <c r="E27" s="93"/>
      <c r="F27" s="93"/>
      <c r="G27" s="93"/>
      <c r="H27" s="93"/>
      <c r="I27" s="1"/>
      <c r="J27" s="1"/>
      <c r="K27" s="1"/>
      <c r="L27" s="1"/>
      <c r="M27" s="1"/>
      <c r="N27" s="1"/>
    </row>
    <row r="28" spans="1:14" ht="18" customHeight="1">
      <c r="A28" s="1"/>
      <c r="B28" s="1"/>
      <c r="C28" s="1"/>
      <c r="D28" s="1"/>
      <c r="E28" s="1"/>
      <c r="F28" s="1"/>
      <c r="G28" s="1"/>
      <c r="H28" s="1"/>
      <c r="I28" s="1"/>
      <c r="J28" s="1"/>
      <c r="K28" s="1"/>
      <c r="L28" s="1"/>
      <c r="M28" s="1"/>
      <c r="N28" s="1"/>
    </row>
    <row r="29" spans="1:14" ht="18" customHeight="1">
      <c r="A29" s="1"/>
      <c r="B29" s="89" t="s">
        <v>40</v>
      </c>
      <c r="C29" s="89" t="s">
        <v>40</v>
      </c>
      <c r="D29" s="89" t="s">
        <v>40</v>
      </c>
      <c r="E29" s="89" t="s">
        <v>40</v>
      </c>
      <c r="F29" s="89" t="s">
        <v>40</v>
      </c>
      <c r="G29" s="89" t="s">
        <v>40</v>
      </c>
      <c r="H29" s="89" t="s">
        <v>40</v>
      </c>
      <c r="I29" s="1"/>
      <c r="J29" s="1"/>
      <c r="K29" s="1"/>
      <c r="L29" s="1"/>
      <c r="M29" s="1"/>
      <c r="N29" s="1"/>
    </row>
    <row r="30" spans="1:14" ht="18" customHeight="1">
      <c r="A30" s="1"/>
      <c r="B30" s="89" t="s">
        <v>40</v>
      </c>
      <c r="C30" s="89" t="s">
        <v>40</v>
      </c>
      <c r="D30" s="89" t="s">
        <v>40</v>
      </c>
      <c r="E30" s="89" t="s">
        <v>40</v>
      </c>
      <c r="F30" s="89" t="s">
        <v>40</v>
      </c>
      <c r="G30" s="89" t="s">
        <v>40</v>
      </c>
      <c r="H30" s="89" t="s">
        <v>40</v>
      </c>
      <c r="I30" s="1"/>
      <c r="J30" s="1"/>
      <c r="K30" s="1"/>
      <c r="L30" s="1"/>
      <c r="M30" s="1"/>
      <c r="N30" s="1"/>
    </row>
    <row r="31" spans="1:14" ht="18" customHeight="1">
      <c r="A31" s="1"/>
      <c r="B31" s="89" t="s">
        <v>40</v>
      </c>
      <c r="C31" s="89" t="s">
        <v>40</v>
      </c>
      <c r="D31" s="89" t="s">
        <v>40</v>
      </c>
      <c r="E31" s="89" t="s">
        <v>40</v>
      </c>
      <c r="F31" s="89" t="s">
        <v>40</v>
      </c>
      <c r="G31" s="89" t="s">
        <v>40</v>
      </c>
      <c r="H31" s="89" t="s">
        <v>40</v>
      </c>
      <c r="I31" s="1"/>
      <c r="J31" s="1"/>
      <c r="K31" s="1"/>
      <c r="L31" s="1"/>
      <c r="M31" s="1"/>
      <c r="N31" s="1"/>
    </row>
    <row r="32" spans="1:14" ht="18" customHeight="1">
      <c r="A32" s="1"/>
      <c r="B32" s="1"/>
      <c r="C32" s="1"/>
      <c r="D32" s="1"/>
      <c r="E32" s="1"/>
      <c r="F32" s="1"/>
      <c r="G32" s="1"/>
      <c r="H32" s="1"/>
      <c r="I32" s="1"/>
      <c r="J32" s="1"/>
      <c r="K32" s="1"/>
      <c r="L32" s="1"/>
      <c r="M32" s="1"/>
      <c r="N32" s="1"/>
    </row>
    <row r="33" spans="1:14" ht="18" customHeight="1">
      <c r="A33" s="1"/>
      <c r="B33" s="1"/>
      <c r="C33" s="1"/>
      <c r="D33" s="1"/>
      <c r="E33" s="1"/>
      <c r="F33" s="1"/>
      <c r="G33" s="1"/>
      <c r="H33" s="1"/>
      <c r="I33" s="1"/>
      <c r="J33" s="1"/>
      <c r="K33" s="1"/>
      <c r="L33" s="1"/>
      <c r="M33" s="1"/>
      <c r="N33" s="1"/>
    </row>
    <row r="34" spans="1:14" ht="18" customHeight="1">
      <c r="A34" s="1"/>
      <c r="B34" s="1"/>
      <c r="C34" s="1"/>
      <c r="D34" s="1"/>
      <c r="E34" s="1"/>
      <c r="F34" s="1"/>
      <c r="G34" s="1"/>
      <c r="H34" s="1"/>
      <c r="I34" s="1"/>
      <c r="J34" s="1"/>
      <c r="K34" s="1"/>
      <c r="L34" s="1"/>
      <c r="M34" s="1"/>
      <c r="N34" s="1"/>
    </row>
    <row r="35" spans="1:14" ht="18" customHeight="1">
      <c r="A35" s="1"/>
      <c r="B35" s="1"/>
      <c r="C35" s="1"/>
      <c r="D35" s="1"/>
      <c r="E35" s="1"/>
      <c r="F35" s="1"/>
      <c r="G35" s="1"/>
      <c r="H35" s="1"/>
      <c r="I35" s="1"/>
      <c r="J35" s="1"/>
      <c r="K35" s="1"/>
      <c r="L35" s="1"/>
      <c r="M35" s="1"/>
      <c r="N35" s="1"/>
    </row>
    <row r="36" spans="1:14" ht="18" customHeight="1">
      <c r="A36" s="1"/>
      <c r="B36" s="1"/>
      <c r="C36" s="1"/>
      <c r="D36" s="1"/>
      <c r="E36" s="1"/>
      <c r="F36" s="1"/>
      <c r="G36" s="1"/>
      <c r="H36" s="1"/>
      <c r="I36" s="1"/>
      <c r="J36" s="1"/>
      <c r="K36" s="1"/>
      <c r="L36" s="1"/>
      <c r="M36" s="1"/>
      <c r="N36" s="1"/>
    </row>
    <row r="37" spans="1:14" ht="18" customHeight="1">
      <c r="A37" s="1"/>
      <c r="B37" s="1"/>
      <c r="C37" s="1"/>
      <c r="D37" s="1"/>
      <c r="E37" s="1"/>
      <c r="F37" s="1"/>
      <c r="G37" s="1"/>
      <c r="H37" s="1"/>
      <c r="I37" s="1"/>
      <c r="J37" s="1"/>
      <c r="K37" s="1"/>
      <c r="L37" s="1"/>
      <c r="M37" s="1"/>
      <c r="N37" s="1"/>
    </row>
    <row r="38" spans="1:14" ht="18" customHeight="1">
      <c r="A38" s="1"/>
      <c r="B38" s="1"/>
      <c r="C38" s="1"/>
      <c r="D38" s="1"/>
      <c r="E38" s="1"/>
      <c r="F38" s="1"/>
      <c r="G38" s="1"/>
      <c r="H38" s="1"/>
      <c r="I38" s="1"/>
      <c r="J38" s="1"/>
      <c r="K38" s="1"/>
      <c r="L38" s="1"/>
      <c r="M38" s="1"/>
      <c r="N38" s="1"/>
    </row>
    <row r="39" spans="1:14" ht="18" customHeight="1">
      <c r="A39" s="1"/>
      <c r="B39" s="1"/>
      <c r="C39" s="1"/>
      <c r="D39" s="1"/>
      <c r="E39" s="1"/>
      <c r="F39" s="1"/>
      <c r="G39" s="1"/>
      <c r="H39" s="1"/>
      <c r="I39" s="1"/>
      <c r="J39" s="1"/>
      <c r="K39" s="1"/>
      <c r="L39" s="1"/>
      <c r="M39" s="1"/>
      <c r="N39" s="1"/>
    </row>
    <row r="40" spans="1:14" ht="18" customHeight="1">
      <c r="A40" s="1"/>
      <c r="B40" s="1"/>
      <c r="C40" s="1"/>
      <c r="D40" s="1"/>
      <c r="E40" s="1"/>
      <c r="F40" s="1"/>
      <c r="G40" s="1"/>
      <c r="H40" s="1"/>
      <c r="I40" s="1"/>
      <c r="J40" s="1"/>
      <c r="K40" s="1"/>
      <c r="L40" s="1"/>
      <c r="M40" s="1"/>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6">
    <mergeCell ref="B29:H31"/>
    <mergeCell ref="B1:H2"/>
    <mergeCell ref="B18:H18"/>
    <mergeCell ref="B19:H21"/>
    <mergeCell ref="B23:H23"/>
    <mergeCell ref="E24:H27"/>
  </mergeCells>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0"/>
  <sheetViews>
    <sheetView showGridLines="0" workbookViewId="0"/>
  </sheetViews>
  <sheetFormatPr defaultRowHeight="14.25"/>
  <cols>
    <col min="1" max="1" width="3" customWidth="1"/>
    <col min="2" max="2" width="36" customWidth="1"/>
    <col min="3" max="3" width="13" customWidth="1"/>
    <col min="4" max="5" width="18" customWidth="1"/>
    <col min="6" max="6" width="13" customWidth="1"/>
    <col min="7" max="7" width="31" customWidth="1"/>
    <col min="8" max="10" width="13" customWidth="1"/>
    <col min="11" max="11" width="3" customWidth="1"/>
    <col min="12" max="14" width="20" customWidth="1"/>
  </cols>
  <sheetData>
    <row r="1" spans="1:14" ht="18" customHeight="1">
      <c r="A1" s="1"/>
      <c r="B1" s="90" t="s">
        <v>41</v>
      </c>
      <c r="C1" s="90" t="s">
        <v>42</v>
      </c>
      <c r="D1" s="90" t="s">
        <v>42</v>
      </c>
      <c r="E1" s="90" t="s">
        <v>42</v>
      </c>
      <c r="F1" s="90" t="s">
        <v>42</v>
      </c>
      <c r="G1" s="90" t="s">
        <v>42</v>
      </c>
      <c r="H1" s="90" t="s">
        <v>42</v>
      </c>
      <c r="I1" s="90" t="s">
        <v>42</v>
      </c>
      <c r="J1" s="90" t="s">
        <v>42</v>
      </c>
      <c r="K1" s="1"/>
      <c r="L1" s="1"/>
      <c r="M1" s="1"/>
      <c r="N1" s="1"/>
    </row>
    <row r="2" spans="1:14" ht="18" customHeight="1">
      <c r="A2" s="1"/>
      <c r="B2" s="90" t="s">
        <v>42</v>
      </c>
      <c r="C2" s="90" t="s">
        <v>42</v>
      </c>
      <c r="D2" s="90" t="s">
        <v>42</v>
      </c>
      <c r="E2" s="90" t="s">
        <v>42</v>
      </c>
      <c r="F2" s="90" t="s">
        <v>42</v>
      </c>
      <c r="G2" s="90" t="s">
        <v>42</v>
      </c>
      <c r="H2" s="90" t="s">
        <v>42</v>
      </c>
      <c r="I2" s="90" t="s">
        <v>42</v>
      </c>
      <c r="J2" s="90" t="s">
        <v>42</v>
      </c>
      <c r="K2" s="1"/>
      <c r="L2" s="1"/>
      <c r="M2" s="1"/>
      <c r="N2" s="1"/>
    </row>
    <row r="3" spans="1:14" ht="18" customHeight="1">
      <c r="A3" s="1"/>
      <c r="B3" s="1"/>
      <c r="C3" s="1"/>
      <c r="D3" s="1"/>
      <c r="E3" s="1"/>
      <c r="F3" s="1"/>
      <c r="G3" s="1"/>
      <c r="H3" s="1"/>
      <c r="I3" s="1"/>
      <c r="J3" s="1"/>
      <c r="K3" s="1"/>
      <c r="L3" s="1"/>
      <c r="M3" s="1"/>
      <c r="N3" s="1"/>
    </row>
    <row r="4" spans="1:14" ht="18" customHeight="1">
      <c r="A4" s="1"/>
      <c r="B4" s="94" t="s">
        <v>43</v>
      </c>
      <c r="C4" s="94"/>
      <c r="D4" s="94"/>
      <c r="E4" s="94"/>
      <c r="F4" s="1"/>
      <c r="G4" s="94" t="s">
        <v>44</v>
      </c>
      <c r="H4" s="94"/>
      <c r="I4" s="94"/>
      <c r="J4" s="94"/>
      <c r="K4" s="1"/>
      <c r="L4" s="1"/>
      <c r="M4" s="1"/>
      <c r="N4" s="1"/>
    </row>
    <row r="5" spans="1:14" ht="26.1" customHeight="1">
      <c r="A5" s="1"/>
      <c r="B5" s="75" t="s">
        <v>45</v>
      </c>
      <c r="C5" s="76">
        <f>기업가치_지분가치!C5</f>
        <v>6530454.1678173449</v>
      </c>
      <c r="D5" s="95" t="s">
        <v>46</v>
      </c>
      <c r="E5" s="96"/>
      <c r="F5" s="1"/>
      <c r="G5" s="75" t="s">
        <v>47</v>
      </c>
      <c r="H5" s="76">
        <f>'FDD 조정'!E6</f>
        <v>722873.92219199997</v>
      </c>
      <c r="I5" s="1"/>
      <c r="J5" s="1"/>
      <c r="K5" s="1"/>
      <c r="L5" s="1"/>
      <c r="M5" s="1"/>
      <c r="N5" s="1"/>
    </row>
    <row r="6" spans="1:14" ht="26.1" customHeight="1">
      <c r="A6" s="1"/>
      <c r="B6" s="75" t="s">
        <v>48</v>
      </c>
      <c r="C6" s="76">
        <f>기업가치_지분가치!C10</f>
        <v>1186614.6815895401</v>
      </c>
      <c r="D6" s="95" t="s">
        <v>49</v>
      </c>
      <c r="E6" s="96"/>
      <c r="F6" s="1"/>
      <c r="G6" s="75" t="s">
        <v>50</v>
      </c>
      <c r="H6" s="76">
        <f>'FDD 조정'!E13</f>
        <v>718602.21719200001</v>
      </c>
      <c r="I6" s="1"/>
      <c r="J6" s="1"/>
      <c r="K6" s="1"/>
      <c r="L6" s="1"/>
      <c r="M6" s="1"/>
      <c r="N6" s="1"/>
    </row>
    <row r="7" spans="1:14" ht="26.1" customHeight="1">
      <c r="A7" s="1"/>
      <c r="B7" s="75" t="s">
        <v>51</v>
      </c>
      <c r="C7" s="76">
        <f>'FDD 조정'!E68</f>
        <v>1801499.0204469999</v>
      </c>
      <c r="D7" s="95" t="s">
        <v>52</v>
      </c>
      <c r="E7" s="96"/>
      <c r="F7" s="1"/>
      <c r="G7" s="75" t="s">
        <v>53</v>
      </c>
      <c r="H7" s="76">
        <f>'FDD 조정'!E13-'FDD 조정'!E6</f>
        <v>-4271.7049999999581</v>
      </c>
      <c r="I7" s="1"/>
      <c r="J7" s="1"/>
      <c r="K7" s="1"/>
      <c r="L7" s="1"/>
      <c r="M7" s="1"/>
      <c r="N7" s="1"/>
    </row>
    <row r="8" spans="1:14" ht="26.1" customHeight="1">
      <c r="A8" s="1"/>
      <c r="B8" s="75" t="s">
        <v>54</v>
      </c>
      <c r="C8" s="76">
        <f>-'FDD 조정'!E69</f>
        <v>-103543.70338799999</v>
      </c>
      <c r="D8" s="95" t="s">
        <v>55</v>
      </c>
      <c r="E8" s="96"/>
      <c r="F8" s="1"/>
      <c r="G8" s="75" t="s">
        <v>56</v>
      </c>
      <c r="H8" s="76">
        <f>과거재무제표!F23</f>
        <v>0.16752217663131946</v>
      </c>
      <c r="I8" s="1"/>
      <c r="J8" s="1"/>
      <c r="K8" s="1"/>
      <c r="L8" s="1"/>
      <c r="M8" s="1"/>
      <c r="N8" s="1"/>
    </row>
    <row r="9" spans="1:14" ht="26.1" customHeight="1">
      <c r="A9" s="1"/>
      <c r="B9" s="78" t="s">
        <v>57</v>
      </c>
      <c r="C9" s="79">
        <f>'FDD 조정'!E70</f>
        <v>0</v>
      </c>
      <c r="D9" s="95" t="s">
        <v>58</v>
      </c>
      <c r="E9" s="96"/>
      <c r="F9" s="1"/>
      <c r="G9" s="75" t="s">
        <v>59</v>
      </c>
      <c r="H9" s="80">
        <f>(영업실적추정!J7/영업실적추정!F7)^(1/4)-1</f>
        <v>4.5445833590271656E-2</v>
      </c>
      <c r="I9" s="1"/>
      <c r="J9" s="1"/>
      <c r="K9" s="1"/>
      <c r="L9" s="1"/>
      <c r="M9" s="1"/>
      <c r="N9" s="1"/>
    </row>
    <row r="10" spans="1:14" ht="26.1" customHeight="1">
      <c r="A10" s="1"/>
      <c r="B10" s="75" t="s">
        <v>60</v>
      </c>
      <c r="C10" s="76">
        <f>기업가치_지분가치!C27</f>
        <v>9415024.1664658859</v>
      </c>
      <c r="D10" s="95" t="s">
        <v>61</v>
      </c>
      <c r="E10" s="96"/>
      <c r="F10" s="1"/>
      <c r="G10" s="75" t="s">
        <v>62</v>
      </c>
      <c r="H10" s="80">
        <f>영업실적추정!J18</f>
        <v>0.18100000000000005</v>
      </c>
      <c r="I10" s="1"/>
      <c r="J10" s="1"/>
      <c r="K10" s="1"/>
      <c r="L10" s="1"/>
      <c r="M10" s="1"/>
      <c r="N10" s="1"/>
    </row>
    <row r="11" spans="1:14" ht="26.1" customHeight="1">
      <c r="A11" s="1"/>
      <c r="B11" s="75" t="s">
        <v>63</v>
      </c>
      <c r="C11" s="77">
        <f>기업가치_지분가치!C28</f>
        <v>39.528787999999999</v>
      </c>
      <c r="D11" s="95" t="s">
        <v>64</v>
      </c>
      <c r="E11" s="96"/>
      <c r="F11" s="1"/>
      <c r="G11" s="75" t="s">
        <v>65</v>
      </c>
      <c r="H11" s="76">
        <f>DCF!C15</f>
        <v>269051.0747696138</v>
      </c>
      <c r="I11" s="1"/>
      <c r="J11" s="1"/>
      <c r="K11" s="1"/>
      <c r="L11" s="1"/>
      <c r="M11" s="1"/>
      <c r="N11" s="1"/>
    </row>
    <row r="12" spans="1:14" ht="26.1" customHeight="1">
      <c r="A12" s="1"/>
      <c r="B12" s="83" t="s">
        <v>66</v>
      </c>
      <c r="C12" s="84">
        <f>기업가치_지분가치!C29</f>
        <v>238181.45313400164</v>
      </c>
      <c r="D12" s="95" t="s">
        <v>67</v>
      </c>
      <c r="E12" s="96"/>
      <c r="F12" s="1"/>
      <c r="G12" s="75" t="s">
        <v>68</v>
      </c>
      <c r="H12" s="76">
        <f>DCF!G15</f>
        <v>562920.60701574781</v>
      </c>
      <c r="I12" s="1"/>
      <c r="J12" s="1"/>
      <c r="K12" s="1"/>
      <c r="L12" s="1"/>
      <c r="M12" s="1"/>
      <c r="N12" s="1"/>
    </row>
    <row r="13" spans="1:14" ht="26.1" customHeight="1">
      <c r="A13" s="1"/>
      <c r="B13" s="75" t="s">
        <v>69</v>
      </c>
      <c r="C13" s="81">
        <f>기업가치_지분가치!C30</f>
        <v>104330</v>
      </c>
      <c r="D13" s="95" t="s">
        <v>70</v>
      </c>
      <c r="E13" s="96"/>
      <c r="F13" s="1"/>
      <c r="G13" s="75" t="s">
        <v>71</v>
      </c>
      <c r="H13" s="82">
        <f>DCF!C29/'FDD 조정'!E13</f>
        <v>9.0877178104677387</v>
      </c>
      <c r="I13" s="1"/>
      <c r="J13" s="1"/>
      <c r="K13" s="1"/>
      <c r="L13" s="1"/>
      <c r="M13" s="1"/>
      <c r="N13" s="1"/>
    </row>
    <row r="14" spans="1:14" ht="26.1" customHeight="1">
      <c r="A14" s="1"/>
      <c r="B14" s="75" t="s">
        <v>72</v>
      </c>
      <c r="C14" s="80">
        <f>기업가치_지분가치!C31</f>
        <v>1.2829622652544965</v>
      </c>
      <c r="D14" s="95" t="s">
        <v>73</v>
      </c>
      <c r="E14" s="96"/>
      <c r="F14" s="1"/>
      <c r="G14" s="75" t="s">
        <v>74</v>
      </c>
      <c r="H14" s="80">
        <f>DCF!C30</f>
        <v>0.74767595679067578</v>
      </c>
      <c r="I14" s="1"/>
      <c r="J14" s="1"/>
      <c r="K14" s="1"/>
      <c r="L14" s="1"/>
      <c r="M14" s="1"/>
      <c r="N14" s="1"/>
    </row>
    <row r="15" spans="1:14" ht="18" customHeight="1">
      <c r="A15" s="1"/>
      <c r="B15" s="1"/>
      <c r="C15" s="1"/>
      <c r="D15" s="1"/>
      <c r="E15" s="1"/>
      <c r="F15" s="1"/>
      <c r="G15" s="1"/>
      <c r="H15" s="1"/>
      <c r="I15" s="1"/>
      <c r="J15" s="1"/>
      <c r="K15" s="1"/>
      <c r="L15" s="1"/>
      <c r="M15" s="1"/>
      <c r="N15" s="1"/>
    </row>
    <row r="16" spans="1:14" ht="18" customHeight="1">
      <c r="A16" s="1"/>
      <c r="B16" s="1"/>
      <c r="C16" s="1"/>
      <c r="D16" s="1"/>
      <c r="E16" s="1"/>
      <c r="F16" s="1"/>
      <c r="G16" s="1"/>
      <c r="H16" s="1"/>
      <c r="I16" s="1"/>
      <c r="J16" s="1"/>
      <c r="K16" s="1"/>
      <c r="L16" s="1"/>
      <c r="M16" s="1"/>
      <c r="N16" s="1"/>
    </row>
    <row r="17" spans="1:14" ht="18" customHeight="1">
      <c r="A17" s="1"/>
      <c r="B17" s="105" t="s">
        <v>75</v>
      </c>
      <c r="C17" s="105"/>
      <c r="D17" s="105"/>
      <c r="E17" s="105"/>
      <c r="F17" s="105"/>
      <c r="G17" s="105"/>
      <c r="H17" s="105"/>
      <c r="I17" s="105"/>
      <c r="J17" s="105"/>
      <c r="K17" s="1"/>
      <c r="L17" s="1"/>
      <c r="M17" s="1"/>
      <c r="N17" s="1"/>
    </row>
    <row r="18" spans="1:14" ht="32.1" customHeight="1">
      <c r="A18" s="1"/>
      <c r="B18" s="106" t="s">
        <v>76</v>
      </c>
      <c r="C18" s="106"/>
      <c r="D18" s="106"/>
      <c r="E18" s="106"/>
      <c r="F18" s="106"/>
      <c r="G18" s="106"/>
      <c r="H18" s="106"/>
      <c r="I18" s="106"/>
      <c r="J18" s="106"/>
      <c r="K18" s="1"/>
      <c r="L18" s="1"/>
      <c r="M18" s="1"/>
      <c r="N18" s="1"/>
    </row>
    <row r="19" spans="1:14" ht="32.1" customHeight="1">
      <c r="A19" s="1"/>
      <c r="B19" s="106"/>
      <c r="C19" s="106"/>
      <c r="D19" s="106"/>
      <c r="E19" s="106"/>
      <c r="F19" s="106"/>
      <c r="G19" s="106"/>
      <c r="H19" s="106"/>
      <c r="I19" s="106"/>
      <c r="J19" s="106"/>
      <c r="K19" s="1"/>
      <c r="L19" s="1"/>
      <c r="M19" s="1"/>
      <c r="N19" s="1"/>
    </row>
    <row r="20" spans="1:14" ht="32.1" customHeight="1">
      <c r="A20" s="1"/>
      <c r="B20" s="106"/>
      <c r="C20" s="106"/>
      <c r="D20" s="106"/>
      <c r="E20" s="106"/>
      <c r="F20" s="106"/>
      <c r="G20" s="106"/>
      <c r="H20" s="106"/>
      <c r="I20" s="106"/>
      <c r="J20" s="106"/>
      <c r="K20" s="1"/>
      <c r="L20" s="1"/>
      <c r="M20" s="1"/>
      <c r="N20" s="1"/>
    </row>
    <row r="21" spans="1:14" ht="32.1" customHeight="1">
      <c r="A21" s="1"/>
      <c r="B21" s="106"/>
      <c r="C21" s="106"/>
      <c r="D21" s="106"/>
      <c r="E21" s="106"/>
      <c r="F21" s="106"/>
      <c r="G21" s="106"/>
      <c r="H21" s="106"/>
      <c r="I21" s="106"/>
      <c r="J21" s="106"/>
      <c r="K21" s="1"/>
      <c r="L21" s="1"/>
      <c r="M21" s="1"/>
      <c r="N21" s="1"/>
    </row>
    <row r="22" spans="1:14" ht="32.1" customHeight="1">
      <c r="A22" s="1"/>
      <c r="B22" s="106"/>
      <c r="C22" s="106"/>
      <c r="D22" s="106"/>
      <c r="E22" s="106"/>
      <c r="F22" s="106"/>
      <c r="G22" s="106"/>
      <c r="H22" s="106"/>
      <c r="I22" s="106"/>
      <c r="J22" s="106"/>
      <c r="K22" s="1"/>
      <c r="L22" s="1"/>
      <c r="M22" s="1"/>
      <c r="N22" s="1"/>
    </row>
    <row r="23" spans="1:14" ht="32.1" customHeight="1">
      <c r="A23" s="1"/>
      <c r="B23" s="92" t="s">
        <v>77</v>
      </c>
      <c r="C23" s="92" t="s">
        <v>77</v>
      </c>
      <c r="D23" s="92" t="s">
        <v>77</v>
      </c>
      <c r="E23" s="92" t="s">
        <v>77</v>
      </c>
      <c r="F23" s="92" t="s">
        <v>77</v>
      </c>
      <c r="G23" s="92" t="s">
        <v>77</v>
      </c>
      <c r="H23" s="92" t="s">
        <v>77</v>
      </c>
      <c r="I23" s="92" t="s">
        <v>77</v>
      </c>
      <c r="J23" s="92" t="s">
        <v>77</v>
      </c>
      <c r="K23" s="1"/>
      <c r="L23" s="1"/>
      <c r="M23" s="1"/>
      <c r="N23" s="1"/>
    </row>
    <row r="24" spans="1:14" ht="18" customHeight="1">
      <c r="A24" s="1"/>
      <c r="B24" s="1"/>
      <c r="C24" s="1"/>
      <c r="D24" s="1"/>
      <c r="E24" s="1"/>
      <c r="F24" s="1"/>
      <c r="G24" s="1"/>
      <c r="H24" s="1"/>
      <c r="I24" s="1"/>
      <c r="J24" s="1"/>
      <c r="K24" s="1"/>
      <c r="L24" s="1"/>
      <c r="M24" s="1"/>
      <c r="N24" s="1"/>
    </row>
    <row r="25" spans="1:14" ht="18" customHeight="1">
      <c r="A25" s="1"/>
      <c r="B25" s="97" t="s">
        <v>78</v>
      </c>
      <c r="C25" s="97" t="s">
        <v>78</v>
      </c>
      <c r="D25" s="97" t="s">
        <v>78</v>
      </c>
      <c r="E25" s="97" t="s">
        <v>78</v>
      </c>
      <c r="F25" s="97" t="s">
        <v>78</v>
      </c>
      <c r="G25" s="97" t="s">
        <v>78</v>
      </c>
      <c r="H25" s="97" t="s">
        <v>78</v>
      </c>
      <c r="I25" s="97" t="s">
        <v>78</v>
      </c>
      <c r="J25" s="97" t="s">
        <v>78</v>
      </c>
      <c r="K25" s="1"/>
      <c r="L25" s="1"/>
      <c r="M25" s="1"/>
      <c r="N25" s="1"/>
    </row>
    <row r="26" spans="1:14" ht="18" customHeight="1">
      <c r="A26" s="1"/>
      <c r="B26" s="10" t="str">
        <f>민감도분석!B5</f>
        <v>영구성장률 / WACC</v>
      </c>
      <c r="C26" s="10">
        <f>민감도분석!C5</f>
        <v>8.5000000000000006E-2</v>
      </c>
      <c r="D26" s="10">
        <f>민감도분석!D5</f>
        <v>0.09</v>
      </c>
      <c r="E26" s="10">
        <f>민감도분석!E5</f>
        <v>9.5000000000000001E-2</v>
      </c>
      <c r="F26" s="10">
        <f>민감도분석!F5</f>
        <v>0.1</v>
      </c>
      <c r="G26" s="10">
        <f>민감도분석!G5</f>
        <v>0.105</v>
      </c>
      <c r="H26" s="1"/>
      <c r="I26" s="98" t="s">
        <v>79</v>
      </c>
      <c r="J26" s="98" t="s">
        <v>79</v>
      </c>
      <c r="K26" s="1"/>
      <c r="L26" s="1"/>
      <c r="M26" s="1"/>
      <c r="N26" s="1"/>
    </row>
    <row r="27" spans="1:14" ht="18" customHeight="1">
      <c r="A27" s="1"/>
      <c r="B27" s="10">
        <f>민감도분석!B6</f>
        <v>0.01</v>
      </c>
      <c r="C27" s="9">
        <f>민감도분석!C6</f>
        <v>243416.68181855776</v>
      </c>
      <c r="D27" s="9">
        <f>민감도분석!D6</f>
        <v>232098.99846719162</v>
      </c>
      <c r="E27" s="9">
        <f>민감도분석!E6</f>
        <v>222121.85007718197</v>
      </c>
      <c r="F27" s="9">
        <f>민감도분석!F6</f>
        <v>213261.64527015833</v>
      </c>
      <c r="G27" s="9">
        <f>민감도분석!G6</f>
        <v>205341.86853607523</v>
      </c>
      <c r="H27" s="1"/>
      <c r="I27" s="98" t="s">
        <v>79</v>
      </c>
      <c r="J27" s="98" t="s">
        <v>79</v>
      </c>
      <c r="K27" s="1"/>
      <c r="L27" s="1"/>
      <c r="M27" s="1"/>
      <c r="N27" s="1"/>
    </row>
    <row r="28" spans="1:14" ht="18" customHeight="1">
      <c r="A28" s="1"/>
      <c r="B28" s="10">
        <f>민감도분석!B7</f>
        <v>1.4999999999999999E-2</v>
      </c>
      <c r="C28" s="9">
        <f>민감도분석!C7</f>
        <v>253203.13667140048</v>
      </c>
      <c r="D28" s="9">
        <f>민감도분석!D7</f>
        <v>240506.10229402961</v>
      </c>
      <c r="E28" s="9">
        <f>민감도분석!E7</f>
        <v>229405.31886856229</v>
      </c>
      <c r="F28" s="9">
        <f>민감도분석!F7</f>
        <v>219618.92728123124</v>
      </c>
      <c r="G28" s="9">
        <f>민감도분석!G7</f>
        <v>210927.70769491018</v>
      </c>
      <c r="H28" s="1"/>
      <c r="I28" s="98" t="s">
        <v>79</v>
      </c>
      <c r="J28" s="98" t="s">
        <v>79</v>
      </c>
      <c r="K28" s="1"/>
      <c r="L28" s="1"/>
      <c r="M28" s="1"/>
      <c r="N28" s="1"/>
    </row>
    <row r="29" spans="1:14" ht="18" customHeight="1">
      <c r="A29" s="1"/>
      <c r="B29" s="10">
        <f>민감도분석!B8</f>
        <v>0.02</v>
      </c>
      <c r="C29" s="9">
        <f>민감도분석!C8</f>
        <v>264495.19996314205</v>
      </c>
      <c r="D29" s="9">
        <f>민감도분석!D8</f>
        <v>250114.22095327298</v>
      </c>
      <c r="E29" s="13">
        <f>민감도분석!E8</f>
        <v>237659.91683212665</v>
      </c>
      <c r="F29" s="9">
        <f>민감도분석!F8</f>
        <v>226770.86954368828</v>
      </c>
      <c r="G29" s="9">
        <f>민감도분석!G8</f>
        <v>217170.7044018434</v>
      </c>
      <c r="H29" s="1"/>
      <c r="I29" s="99" t="str">
        <f>검증!C25</f>
        <v>정상</v>
      </c>
      <c r="J29" s="100"/>
      <c r="K29" s="1"/>
      <c r="L29" s="1"/>
      <c r="M29" s="1"/>
      <c r="N29" s="1"/>
    </row>
    <row r="30" spans="1:14" ht="18" customHeight="1">
      <c r="A30" s="1"/>
      <c r="B30" s="10">
        <f>민감도분석!B9</f>
        <v>2.5000000000000001E-2</v>
      </c>
      <c r="C30" s="9">
        <f>민감도분석!C9</f>
        <v>277669.27380350721</v>
      </c>
      <c r="D30" s="9">
        <f>민감도분석!D9</f>
        <v>261200.51171393838</v>
      </c>
      <c r="E30" s="9">
        <f>민감도분석!E9</f>
        <v>247093.7430762001</v>
      </c>
      <c r="F30" s="9">
        <f>민감도분석!F9</f>
        <v>234876.40410780619</v>
      </c>
      <c r="G30" s="9">
        <f>민감도분석!G9</f>
        <v>224194.07569714327</v>
      </c>
      <c r="H30" s="1"/>
      <c r="I30" s="101"/>
      <c r="J30" s="102"/>
      <c r="K30" s="1"/>
      <c r="L30" s="1"/>
      <c r="M30" s="1"/>
      <c r="N30" s="1"/>
    </row>
    <row r="31" spans="1:14" ht="18" customHeight="1">
      <c r="A31" s="1"/>
      <c r="B31" s="10">
        <f>민감도분석!B10</f>
        <v>0.03</v>
      </c>
      <c r="C31" s="9">
        <f>민감도분석!C10</f>
        <v>293238.63379666611</v>
      </c>
      <c r="D31" s="9">
        <f>민감도분석!D10</f>
        <v>274134.51760138146</v>
      </c>
      <c r="E31" s="9">
        <f>민감도분석!E10</f>
        <v>257978.92720397731</v>
      </c>
      <c r="F31" s="9">
        <f>민감도분석!F10</f>
        <v>244139.87218108386</v>
      </c>
      <c r="G31" s="9">
        <f>민감도분석!G10</f>
        <v>232153.89649848311</v>
      </c>
      <c r="H31" s="1"/>
      <c r="I31" s="103"/>
      <c r="J31" s="104"/>
      <c r="K31" s="1"/>
      <c r="L31" s="1"/>
      <c r="M31" s="1"/>
      <c r="N31" s="1"/>
    </row>
    <row r="32" spans="1:14" ht="18" customHeight="1">
      <c r="A32" s="1"/>
      <c r="B32" s="1"/>
      <c r="C32" s="1"/>
      <c r="D32" s="1"/>
      <c r="E32" s="1"/>
      <c r="F32" s="1"/>
      <c r="G32" s="1"/>
      <c r="H32" s="1"/>
      <c r="I32" s="1"/>
      <c r="J32" s="1"/>
      <c r="K32" s="1"/>
      <c r="L32" s="1"/>
      <c r="M32" s="1"/>
      <c r="N32" s="1"/>
    </row>
    <row r="33" spans="1:14" ht="18" customHeight="1">
      <c r="A33" s="1"/>
      <c r="B33" s="1"/>
      <c r="C33" s="1"/>
      <c r="D33" s="1"/>
      <c r="E33" s="1"/>
      <c r="F33" s="1"/>
      <c r="G33" s="1"/>
      <c r="H33" s="1"/>
      <c r="I33" s="1"/>
      <c r="J33" s="1"/>
      <c r="K33" s="1"/>
      <c r="L33" s="1"/>
      <c r="M33" s="1"/>
      <c r="N33" s="1"/>
    </row>
    <row r="34" spans="1:14" ht="18" customHeight="1">
      <c r="A34" s="1"/>
      <c r="B34" s="1"/>
      <c r="C34" s="1"/>
      <c r="D34" s="1"/>
      <c r="E34" s="1"/>
      <c r="F34" s="1"/>
      <c r="G34" s="1"/>
      <c r="H34" s="1"/>
      <c r="I34" s="1"/>
      <c r="J34" s="1"/>
      <c r="K34" s="1"/>
      <c r="L34" s="1"/>
      <c r="M34" s="1"/>
      <c r="N34" s="1"/>
    </row>
    <row r="35" spans="1:14" ht="18" customHeight="1">
      <c r="A35" s="1"/>
      <c r="B35" s="1"/>
      <c r="C35" s="1"/>
      <c r="D35" s="1"/>
      <c r="E35" s="1"/>
      <c r="F35" s="1"/>
      <c r="G35" s="1"/>
      <c r="H35" s="1"/>
      <c r="I35" s="1"/>
      <c r="J35" s="1"/>
      <c r="K35" s="1"/>
      <c r="L35" s="1"/>
      <c r="M35" s="1"/>
      <c r="N35" s="1"/>
    </row>
    <row r="36" spans="1:14" ht="18" customHeight="1">
      <c r="A36" s="1"/>
      <c r="B36" s="1"/>
      <c r="C36" s="1"/>
      <c r="D36" s="1"/>
      <c r="E36" s="1"/>
      <c r="F36" s="1"/>
      <c r="G36" s="1"/>
      <c r="H36" s="1"/>
      <c r="I36" s="1"/>
      <c r="J36" s="1"/>
      <c r="K36" s="1"/>
      <c r="L36" s="1"/>
      <c r="M36" s="1"/>
      <c r="N36" s="1"/>
    </row>
    <row r="37" spans="1:14" ht="18" customHeight="1">
      <c r="A37" s="1"/>
      <c r="B37" s="1"/>
      <c r="C37" s="1"/>
      <c r="D37" s="1"/>
      <c r="E37" s="1"/>
      <c r="F37" s="1"/>
      <c r="G37" s="1"/>
      <c r="H37" s="1"/>
      <c r="I37" s="1"/>
      <c r="J37" s="1"/>
      <c r="K37" s="1"/>
      <c r="L37" s="1"/>
      <c r="M37" s="1"/>
      <c r="N37" s="1"/>
    </row>
    <row r="38" spans="1:14" ht="18" customHeight="1">
      <c r="A38" s="1"/>
      <c r="B38" s="1"/>
      <c r="C38" s="1"/>
      <c r="D38" s="1"/>
      <c r="E38" s="1"/>
      <c r="F38" s="1"/>
      <c r="G38" s="1"/>
      <c r="H38" s="1"/>
      <c r="I38" s="1"/>
      <c r="J38" s="1"/>
      <c r="K38" s="1"/>
      <c r="L38" s="1"/>
      <c r="M38" s="1"/>
      <c r="N38" s="1"/>
    </row>
    <row r="39" spans="1:14" ht="18" customHeight="1">
      <c r="A39" s="1"/>
      <c r="B39" s="1"/>
      <c r="C39" s="1"/>
      <c r="D39" s="1"/>
      <c r="E39" s="1"/>
      <c r="F39" s="1"/>
      <c r="G39" s="1"/>
      <c r="H39" s="1"/>
      <c r="I39" s="1"/>
      <c r="J39" s="1"/>
      <c r="K39" s="1"/>
      <c r="L39" s="1"/>
      <c r="M39" s="1"/>
      <c r="N39" s="1"/>
    </row>
    <row r="40" spans="1:14" ht="18" customHeight="1">
      <c r="A40" s="1"/>
      <c r="B40" s="1"/>
      <c r="C40" s="1"/>
      <c r="D40" s="1"/>
      <c r="E40" s="1"/>
      <c r="F40" s="1"/>
      <c r="G40" s="1"/>
      <c r="H40" s="1"/>
      <c r="I40" s="1"/>
      <c r="J40" s="1"/>
      <c r="K40" s="1"/>
      <c r="L40" s="1"/>
      <c r="M40" s="1"/>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18">
    <mergeCell ref="B25:J25"/>
    <mergeCell ref="I26:J28"/>
    <mergeCell ref="I29:J31"/>
    <mergeCell ref="D13:E13"/>
    <mergeCell ref="D14:E14"/>
    <mergeCell ref="B17:J17"/>
    <mergeCell ref="B18:J23"/>
    <mergeCell ref="D8:E8"/>
    <mergeCell ref="D9:E9"/>
    <mergeCell ref="D10:E10"/>
    <mergeCell ref="D11:E11"/>
    <mergeCell ref="D12:E12"/>
    <mergeCell ref="B1:J2"/>
    <mergeCell ref="B4:E4"/>
    <mergeCell ref="D5:E5"/>
    <mergeCell ref="D6:E6"/>
    <mergeCell ref="D7:E7"/>
    <mergeCell ref="G4:J4"/>
  </mergeCells>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workbookViewId="0"/>
  </sheetViews>
  <sheetFormatPr defaultRowHeight="14.25"/>
  <cols>
    <col min="1" max="1" width="3" customWidth="1"/>
    <col min="2" max="2" width="38" customWidth="1"/>
    <col min="3" max="10" width="13" customWidth="1"/>
    <col min="11" max="11" width="3" customWidth="1"/>
    <col min="12" max="12" width="55" customWidth="1"/>
    <col min="13" max="13" width="15" customWidth="1"/>
    <col min="14" max="14" width="20" customWidth="1"/>
  </cols>
  <sheetData>
    <row r="1" spans="1:14" ht="18" customHeight="1">
      <c r="A1" s="1"/>
      <c r="B1" s="90" t="s">
        <v>80</v>
      </c>
      <c r="C1" s="90" t="s">
        <v>80</v>
      </c>
      <c r="D1" s="90" t="s">
        <v>80</v>
      </c>
      <c r="E1" s="90" t="s">
        <v>80</v>
      </c>
      <c r="F1" s="90" t="s">
        <v>80</v>
      </c>
      <c r="G1" s="90" t="s">
        <v>80</v>
      </c>
      <c r="H1" s="90" t="s">
        <v>80</v>
      </c>
      <c r="I1" s="90" t="s">
        <v>80</v>
      </c>
      <c r="J1" s="90" t="s">
        <v>80</v>
      </c>
      <c r="K1" s="90" t="s">
        <v>80</v>
      </c>
      <c r="L1" s="90" t="s">
        <v>80</v>
      </c>
      <c r="M1" s="90" t="s">
        <v>80</v>
      </c>
      <c r="N1" s="1"/>
    </row>
    <row r="2" spans="1:14" ht="18" customHeight="1">
      <c r="A2" s="1"/>
      <c r="B2" s="90" t="s">
        <v>80</v>
      </c>
      <c r="C2" s="90" t="s">
        <v>80</v>
      </c>
      <c r="D2" s="90" t="s">
        <v>80</v>
      </c>
      <c r="E2" s="90" t="s">
        <v>80</v>
      </c>
      <c r="F2" s="90" t="s">
        <v>80</v>
      </c>
      <c r="G2" s="90" t="s">
        <v>80</v>
      </c>
      <c r="H2" s="90" t="s">
        <v>80</v>
      </c>
      <c r="I2" s="90" t="s">
        <v>80</v>
      </c>
      <c r="J2" s="90" t="s">
        <v>80</v>
      </c>
      <c r="K2" s="90" t="s">
        <v>80</v>
      </c>
      <c r="L2" s="90" t="s">
        <v>80</v>
      </c>
      <c r="M2" s="90" t="s">
        <v>80</v>
      </c>
      <c r="N2" s="1"/>
    </row>
    <row r="3" spans="1:14" ht="18" customHeight="1">
      <c r="A3" s="1"/>
      <c r="B3" s="1"/>
      <c r="C3" s="1"/>
      <c r="D3" s="1"/>
      <c r="E3" s="1"/>
      <c r="F3" s="1"/>
      <c r="G3" s="1"/>
      <c r="H3" s="1"/>
      <c r="I3" s="1"/>
      <c r="J3" s="1"/>
      <c r="K3" s="1"/>
      <c r="L3" s="1"/>
      <c r="M3" s="1"/>
      <c r="N3" s="1"/>
    </row>
    <row r="4" spans="1:14" ht="18" customHeight="1">
      <c r="A4" s="1"/>
      <c r="B4" s="14" t="s">
        <v>81</v>
      </c>
      <c r="C4" s="15">
        <v>45291</v>
      </c>
      <c r="D4" s="15">
        <v>45657</v>
      </c>
      <c r="E4" s="15">
        <v>46022</v>
      </c>
      <c r="F4" s="16">
        <v>46387</v>
      </c>
      <c r="G4" s="16">
        <v>46752</v>
      </c>
      <c r="H4" s="16">
        <v>47118</v>
      </c>
      <c r="I4" s="16">
        <v>47483</v>
      </c>
      <c r="J4" s="16">
        <v>47848</v>
      </c>
      <c r="K4" s="1"/>
      <c r="L4" s="17" t="s">
        <v>82</v>
      </c>
      <c r="M4" s="17" t="s">
        <v>83</v>
      </c>
      <c r="N4" s="1"/>
    </row>
    <row r="5" spans="1:14" ht="18" customHeight="1">
      <c r="A5" s="1"/>
      <c r="B5" s="1"/>
      <c r="C5" s="1"/>
      <c r="D5" s="1"/>
      <c r="E5" s="1"/>
      <c r="F5" s="1"/>
      <c r="G5" s="1"/>
      <c r="H5" s="1"/>
      <c r="I5" s="1"/>
      <c r="J5" s="1"/>
      <c r="K5" s="1"/>
      <c r="L5" s="1"/>
      <c r="M5" s="1"/>
      <c r="N5" s="1"/>
    </row>
    <row r="6" spans="1:14" ht="18" customHeight="1">
      <c r="A6" s="1"/>
      <c r="B6" s="97" t="s">
        <v>84</v>
      </c>
      <c r="C6" s="97" t="s">
        <v>84</v>
      </c>
      <c r="D6" s="97" t="s">
        <v>84</v>
      </c>
      <c r="E6" s="97" t="s">
        <v>84</v>
      </c>
      <c r="F6" s="97" t="s">
        <v>84</v>
      </c>
      <c r="G6" s="97" t="s">
        <v>84</v>
      </c>
      <c r="H6" s="97" t="s">
        <v>84</v>
      </c>
      <c r="I6" s="97" t="s">
        <v>84</v>
      </c>
      <c r="J6" s="97" t="s">
        <v>84</v>
      </c>
      <c r="K6" s="97" t="s">
        <v>84</v>
      </c>
      <c r="L6" s="97" t="s">
        <v>84</v>
      </c>
      <c r="M6" s="97" t="s">
        <v>84</v>
      </c>
      <c r="N6" s="1"/>
    </row>
    <row r="7" spans="1:14" ht="18" customHeight="1">
      <c r="A7" s="1"/>
      <c r="B7" s="1" t="s">
        <v>85</v>
      </c>
      <c r="C7" s="18"/>
      <c r="D7" s="18"/>
      <c r="E7" s="18">
        <f>과거재무제표!F71/과거재무제표!E71-1</f>
        <v>3.4324950315304692E-2</v>
      </c>
      <c r="F7" s="19">
        <v>0.04</v>
      </c>
      <c r="G7" s="19">
        <v>3.5000000000000003E-2</v>
      </c>
      <c r="H7" s="19">
        <v>0.03</v>
      </c>
      <c r="I7" s="19">
        <v>0.03</v>
      </c>
      <c r="J7" s="19">
        <v>2.5000000000000001E-2</v>
      </c>
      <c r="K7" s="1"/>
      <c r="L7" s="20" t="s">
        <v>86</v>
      </c>
      <c r="M7" s="20" t="s">
        <v>87</v>
      </c>
      <c r="N7" s="1"/>
    </row>
    <row r="8" spans="1:14" ht="18" customHeight="1">
      <c r="A8" s="1"/>
      <c r="B8" s="1" t="s">
        <v>88</v>
      </c>
      <c r="C8" s="18"/>
      <c r="D8" s="18"/>
      <c r="E8" s="18">
        <f>과거재무제표!F72/과거재무제표!E72-1</f>
        <v>4.0464881350340542E-2</v>
      </c>
      <c r="F8" s="19">
        <v>4.4999999999999998E-2</v>
      </c>
      <c r="G8" s="19">
        <v>0.04</v>
      </c>
      <c r="H8" s="19">
        <v>3.5000000000000003E-2</v>
      </c>
      <c r="I8" s="19">
        <v>3.5000000000000003E-2</v>
      </c>
      <c r="J8" s="19">
        <v>0.03</v>
      </c>
      <c r="K8" s="1"/>
      <c r="L8" s="20" t="s">
        <v>89</v>
      </c>
      <c r="M8" s="20" t="s">
        <v>87</v>
      </c>
      <c r="N8" s="1"/>
    </row>
    <row r="9" spans="1:14" ht="18" customHeight="1">
      <c r="A9" s="1"/>
      <c r="B9" s="1" t="s">
        <v>90</v>
      </c>
      <c r="C9" s="18"/>
      <c r="D9" s="18"/>
      <c r="E9" s="18">
        <f>과거재무제표!F73/과거재무제표!E73-1</f>
        <v>0.18040355880075754</v>
      </c>
      <c r="F9" s="19">
        <v>0.11</v>
      </c>
      <c r="G9" s="19">
        <v>0.09</v>
      </c>
      <c r="H9" s="19">
        <v>0.08</v>
      </c>
      <c r="I9" s="19">
        <v>7.0000000000000007E-2</v>
      </c>
      <c r="J9" s="19">
        <v>0.06</v>
      </c>
      <c r="K9" s="1"/>
      <c r="L9" s="20" t="s">
        <v>91</v>
      </c>
      <c r="M9" s="20" t="s">
        <v>87</v>
      </c>
      <c r="N9" s="1"/>
    </row>
    <row r="10" spans="1:14" ht="18" customHeight="1">
      <c r="A10" s="1"/>
      <c r="B10" s="1" t="s">
        <v>92</v>
      </c>
      <c r="C10" s="18"/>
      <c r="D10" s="18">
        <f>과거재무제표!E7/과거재무제표!D7-1</f>
        <v>6.5919272720182498E-2</v>
      </c>
      <c r="E10" s="18">
        <f>과거재무제표!F7/과거재무제표!E7-1</f>
        <v>7.3479085689305723E-2</v>
      </c>
      <c r="F10" s="18">
        <f>매출액추정!F14</f>
        <v>6.1287804422065495E-2</v>
      </c>
      <c r="G10" s="18">
        <f>매출액추정!G14</f>
        <v>5.2815534206717363E-2</v>
      </c>
      <c r="H10" s="18">
        <f>매출액추정!H14</f>
        <v>4.6858645690033729E-2</v>
      </c>
      <c r="I10" s="18">
        <f>매출액추정!I14</f>
        <v>4.4227683155808606E-2</v>
      </c>
      <c r="J10" s="18">
        <f>매출액추정!J14</f>
        <v>3.7936091846756836E-2</v>
      </c>
      <c r="K10" s="1"/>
      <c r="L10" s="20" t="s">
        <v>93</v>
      </c>
      <c r="M10" s="20" t="s">
        <v>94</v>
      </c>
      <c r="N10" s="1"/>
    </row>
    <row r="11" spans="1:14" ht="18" customHeight="1">
      <c r="A11" s="1"/>
      <c r="B11" s="1"/>
      <c r="C11" s="1"/>
      <c r="D11" s="1"/>
      <c r="E11" s="1"/>
      <c r="F11" s="1"/>
      <c r="G11" s="1"/>
      <c r="H11" s="1"/>
      <c r="I11" s="1"/>
      <c r="J11" s="1"/>
      <c r="K11" s="1"/>
      <c r="L11" s="20"/>
      <c r="M11" s="20"/>
      <c r="N11" s="1"/>
    </row>
    <row r="12" spans="1:14" ht="18" customHeight="1">
      <c r="A12" s="1"/>
      <c r="B12" s="97" t="s">
        <v>95</v>
      </c>
      <c r="C12" s="97" t="s">
        <v>95</v>
      </c>
      <c r="D12" s="97" t="s">
        <v>95</v>
      </c>
      <c r="E12" s="97" t="s">
        <v>95</v>
      </c>
      <c r="F12" s="97" t="s">
        <v>95</v>
      </c>
      <c r="G12" s="97" t="s">
        <v>95</v>
      </c>
      <c r="H12" s="97" t="s">
        <v>95</v>
      </c>
      <c r="I12" s="97" t="s">
        <v>95</v>
      </c>
      <c r="J12" s="97" t="s">
        <v>95</v>
      </c>
      <c r="K12" s="97" t="s">
        <v>95</v>
      </c>
      <c r="L12" s="107" t="s">
        <v>95</v>
      </c>
      <c r="M12" s="107" t="s">
        <v>95</v>
      </c>
      <c r="N12" s="1"/>
    </row>
    <row r="13" spans="1:14" ht="18" customHeight="1">
      <c r="A13" s="1"/>
      <c r="B13" s="1" t="s">
        <v>96</v>
      </c>
      <c r="C13" s="18">
        <f>-과거재무제표!D8/과거재무제표!D7</f>
        <v>0.61288722868707413</v>
      </c>
      <c r="D13" s="18">
        <f>-과거재무제표!E8/과거재무제표!E7</f>
        <v>0.61467652355575619</v>
      </c>
      <c r="E13" s="18">
        <f>-과거재무제표!F8/과거재무제표!F7</f>
        <v>0.6329040677771276</v>
      </c>
      <c r="F13" s="19">
        <v>0.63</v>
      </c>
      <c r="G13" s="19">
        <v>0.628</v>
      </c>
      <c r="H13" s="19">
        <v>0.626</v>
      </c>
      <c r="I13" s="19">
        <v>0.625</v>
      </c>
      <c r="J13" s="19">
        <v>0.624</v>
      </c>
      <c r="K13" s="1"/>
      <c r="L13" s="20" t="s">
        <v>97</v>
      </c>
      <c r="M13" s="20" t="s">
        <v>87</v>
      </c>
      <c r="N13" s="1"/>
    </row>
    <row r="14" spans="1:14" ht="18" customHeight="1">
      <c r="A14" s="1"/>
      <c r="B14" s="1" t="s">
        <v>98</v>
      </c>
      <c r="C14" s="18">
        <f>-과거재무제표!D10/과거재무제표!D7</f>
        <v>0.16564332336941748</v>
      </c>
      <c r="D14" s="18">
        <f>-과거재무제표!E10/과거재무제표!E7</f>
        <v>0.15979750715612218</v>
      </c>
      <c r="E14" s="18">
        <f>-과거재무제표!F10/과거재무제표!F7</f>
        <v>0.14653588337414683</v>
      </c>
      <c r="F14" s="19">
        <v>0.14599999999999999</v>
      </c>
      <c r="G14" s="19">
        <v>0.14499999999999999</v>
      </c>
      <c r="H14" s="19">
        <v>0.14399999999999999</v>
      </c>
      <c r="I14" s="19">
        <v>0.14399999999999999</v>
      </c>
      <c r="J14" s="19">
        <v>0.14299999999999999</v>
      </c>
      <c r="K14" s="1"/>
      <c r="L14" s="20" t="s">
        <v>99</v>
      </c>
      <c r="M14" s="20" t="s">
        <v>87</v>
      </c>
      <c r="N14" s="1"/>
    </row>
    <row r="15" spans="1:14" ht="18" customHeight="1">
      <c r="A15" s="1"/>
      <c r="B15" s="1" t="s">
        <v>100</v>
      </c>
      <c r="C15" s="18">
        <f>-과거재무제표!D11/과거재무제표!D7</f>
        <v>5.2399868997120798E-2</v>
      </c>
      <c r="D15" s="18">
        <f>-과거재무제표!E11/과거재무제표!E7</f>
        <v>5.0420140812789935E-2</v>
      </c>
      <c r="E15" s="18">
        <f>-과거재무제표!F11/과거재무제표!F7</f>
        <v>5.3037872217406141E-2</v>
      </c>
      <c r="F15" s="19">
        <v>5.2999999999999999E-2</v>
      </c>
      <c r="G15" s="19">
        <v>5.2999999999999999E-2</v>
      </c>
      <c r="H15" s="19">
        <v>5.1999999999999998E-2</v>
      </c>
      <c r="I15" s="19">
        <v>5.1999999999999998E-2</v>
      </c>
      <c r="J15" s="19">
        <v>5.1999999999999998E-2</v>
      </c>
      <c r="K15" s="1"/>
      <c r="L15" s="20" t="s">
        <v>101</v>
      </c>
      <c r="M15" s="20" t="s">
        <v>87</v>
      </c>
      <c r="N15" s="1"/>
    </row>
    <row r="16" spans="1:14" ht="18" customHeight="1">
      <c r="A16" s="1"/>
      <c r="B16" s="1" t="s">
        <v>102</v>
      </c>
      <c r="C16" s="18">
        <f>과거재무제표!D24</f>
        <v>0.25967558087217413</v>
      </c>
      <c r="D16" s="18">
        <f>과거재무제표!E24</f>
        <v>0.22967782458844349</v>
      </c>
      <c r="E16" s="18">
        <f>과거재무제표!F24</f>
        <v>0.28534284901972551</v>
      </c>
      <c r="F16" s="19">
        <v>0.255</v>
      </c>
      <c r="G16" s="19">
        <v>0.255</v>
      </c>
      <c r="H16" s="19">
        <v>0.255</v>
      </c>
      <c r="I16" s="19">
        <v>0.255</v>
      </c>
      <c r="J16" s="19">
        <v>0.255</v>
      </c>
      <c r="K16" s="1"/>
      <c r="L16" s="20" t="s">
        <v>103</v>
      </c>
      <c r="M16" s="20" t="s">
        <v>87</v>
      </c>
      <c r="N16" s="1"/>
    </row>
    <row r="17" spans="1:14" ht="18" customHeight="1">
      <c r="A17" s="1"/>
      <c r="B17" s="1" t="s">
        <v>104</v>
      </c>
      <c r="C17" s="18">
        <f>과거재무제표!D27/과거재무제표!D7</f>
        <v>5.3974122762957717E-2</v>
      </c>
      <c r="D17" s="18">
        <f>과거재무제표!E27/과거재무제표!E7</f>
        <v>5.1686178574012753E-2</v>
      </c>
      <c r="E17" s="18">
        <f>과거재무제표!F27/과거재무제표!F7</f>
        <v>4.9397969568341429E-2</v>
      </c>
      <c r="F17" s="19">
        <v>0.05</v>
      </c>
      <c r="G17" s="19">
        <v>5.1999999999999998E-2</v>
      </c>
      <c r="H17" s="19">
        <v>5.3999999999999999E-2</v>
      </c>
      <c r="I17" s="19">
        <v>5.2999999999999999E-2</v>
      </c>
      <c r="J17" s="19">
        <v>5.0999999999999997E-2</v>
      </c>
      <c r="K17" s="1"/>
      <c r="L17" s="20" t="s">
        <v>105</v>
      </c>
      <c r="M17" s="20" t="s">
        <v>87</v>
      </c>
      <c r="N17" s="1"/>
    </row>
    <row r="18" spans="1:14" ht="18" customHeight="1">
      <c r="A18" s="1"/>
      <c r="B18" s="1" t="s">
        <v>106</v>
      </c>
      <c r="C18" s="18">
        <f>과거재무제표!D30/과거재무제표!D7</f>
        <v>5.7961502303779847E-2</v>
      </c>
      <c r="D18" s="18">
        <f>과거재무제표!E30/과거재무제표!E7</f>
        <v>3.9672833458318693E-2</v>
      </c>
      <c r="E18" s="18">
        <f>과거재무제표!F30/과거재무제표!F7</f>
        <v>4.3906270238420385E-2</v>
      </c>
      <c r="F18" s="19">
        <v>4.3999999999999997E-2</v>
      </c>
      <c r="G18" s="19">
        <v>4.4999999999999998E-2</v>
      </c>
      <c r="H18" s="19">
        <v>4.8000000000000001E-2</v>
      </c>
      <c r="I18" s="19">
        <v>0.05</v>
      </c>
      <c r="J18" s="19">
        <v>5.0999999999999997E-2</v>
      </c>
      <c r="K18" s="1"/>
      <c r="L18" s="20" t="s">
        <v>107</v>
      </c>
      <c r="M18" s="20" t="s">
        <v>87</v>
      </c>
      <c r="N18" s="1"/>
    </row>
    <row r="19" spans="1:14" ht="18" customHeight="1">
      <c r="A19" s="1"/>
      <c r="B19" s="1" t="s">
        <v>108</v>
      </c>
      <c r="C19" s="21"/>
      <c r="D19" s="21"/>
      <c r="E19" s="21"/>
      <c r="F19" s="22">
        <v>180000</v>
      </c>
      <c r="G19" s="22">
        <v>170000</v>
      </c>
      <c r="H19" s="22">
        <v>0</v>
      </c>
      <c r="I19" s="22">
        <v>0</v>
      </c>
      <c r="J19" s="22">
        <v>0</v>
      </c>
      <c r="K19" s="1"/>
      <c r="L19" s="20" t="s">
        <v>109</v>
      </c>
      <c r="M19" s="20" t="s">
        <v>87</v>
      </c>
      <c r="N19" s="1"/>
    </row>
    <row r="20" spans="1:14" ht="18" customHeight="1">
      <c r="A20" s="1"/>
      <c r="B20" s="1"/>
      <c r="C20" s="1"/>
      <c r="D20" s="1"/>
      <c r="E20" s="1"/>
      <c r="F20" s="1"/>
      <c r="G20" s="1"/>
      <c r="H20" s="1"/>
      <c r="I20" s="1"/>
      <c r="J20" s="1"/>
      <c r="K20" s="1"/>
      <c r="L20" s="20"/>
      <c r="M20" s="20"/>
      <c r="N20" s="1"/>
    </row>
    <row r="21" spans="1:14" ht="18" customHeight="1">
      <c r="A21" s="1"/>
      <c r="B21" s="97" t="s">
        <v>110</v>
      </c>
      <c r="C21" s="97" t="s">
        <v>110</v>
      </c>
      <c r="D21" s="97" t="s">
        <v>110</v>
      </c>
      <c r="E21" s="97" t="s">
        <v>110</v>
      </c>
      <c r="F21" s="97" t="s">
        <v>110</v>
      </c>
      <c r="G21" s="97" t="s">
        <v>110</v>
      </c>
      <c r="H21" s="97" t="s">
        <v>110</v>
      </c>
      <c r="I21" s="97" t="s">
        <v>110</v>
      </c>
      <c r="J21" s="97" t="s">
        <v>110</v>
      </c>
      <c r="K21" s="97" t="s">
        <v>110</v>
      </c>
      <c r="L21" s="107" t="s">
        <v>110</v>
      </c>
      <c r="M21" s="107" t="s">
        <v>110</v>
      </c>
      <c r="N21" s="1"/>
    </row>
    <row r="22" spans="1:14" ht="18" customHeight="1">
      <c r="A22" s="1"/>
      <c r="B22" s="1" t="s">
        <v>111</v>
      </c>
      <c r="C22" s="23">
        <f>NWC!C10</f>
        <v>23.941281847462612</v>
      </c>
      <c r="D22" s="23">
        <f>NWC!D10</f>
        <v>20.848108907491667</v>
      </c>
      <c r="E22" s="23">
        <f>NWC!E10</f>
        <v>19.934253390301979</v>
      </c>
      <c r="F22" s="24">
        <v>20</v>
      </c>
      <c r="G22" s="24">
        <v>20</v>
      </c>
      <c r="H22" s="24">
        <v>19.5</v>
      </c>
      <c r="I22" s="24">
        <v>19.5</v>
      </c>
      <c r="J22" s="24">
        <v>19</v>
      </c>
      <c r="K22" s="1"/>
      <c r="L22" s="20" t="s">
        <v>112</v>
      </c>
      <c r="M22" s="20" t="s">
        <v>87</v>
      </c>
      <c r="N22" s="1"/>
    </row>
    <row r="23" spans="1:14" ht="18" customHeight="1">
      <c r="A23" s="1"/>
      <c r="B23" s="1" t="s">
        <v>113</v>
      </c>
      <c r="C23" s="23">
        <f>NWC!C12</f>
        <v>53.112945723111785</v>
      </c>
      <c r="D23" s="23">
        <f>NWC!D12</f>
        <v>60.558814715430458</v>
      </c>
      <c r="E23" s="23">
        <f>NWC!E12</f>
        <v>55.623462671650906</v>
      </c>
      <c r="F23" s="24">
        <v>56</v>
      </c>
      <c r="G23" s="24">
        <v>56</v>
      </c>
      <c r="H23" s="24">
        <v>55</v>
      </c>
      <c r="I23" s="24">
        <v>55</v>
      </c>
      <c r="J23" s="24">
        <v>54</v>
      </c>
      <c r="K23" s="1"/>
      <c r="L23" s="20" t="s">
        <v>114</v>
      </c>
      <c r="M23" s="20" t="s">
        <v>87</v>
      </c>
      <c r="N23" s="1"/>
    </row>
    <row r="24" spans="1:14" ht="18" customHeight="1">
      <c r="A24" s="1"/>
      <c r="B24" s="1" t="s">
        <v>115</v>
      </c>
      <c r="C24" s="23">
        <f>NWC!C16</f>
        <v>25.094714561451958</v>
      </c>
      <c r="D24" s="23">
        <f>NWC!D16</f>
        <v>31.215775807571678</v>
      </c>
      <c r="E24" s="23">
        <f>NWC!E16</f>
        <v>25.235552222087968</v>
      </c>
      <c r="F24" s="24">
        <v>26</v>
      </c>
      <c r="G24" s="24">
        <v>26.5</v>
      </c>
      <c r="H24" s="24">
        <v>27</v>
      </c>
      <c r="I24" s="24">
        <v>27.5</v>
      </c>
      <c r="J24" s="24">
        <v>28</v>
      </c>
      <c r="K24" s="1"/>
      <c r="L24" s="20" t="s">
        <v>116</v>
      </c>
      <c r="M24" s="20" t="s">
        <v>87</v>
      </c>
      <c r="N24" s="1"/>
    </row>
    <row r="25" spans="1:14" ht="18" customHeight="1">
      <c r="A25" s="1"/>
      <c r="B25" s="1" t="s">
        <v>117</v>
      </c>
      <c r="C25" s="18">
        <f>NWC!C14</f>
        <v>7.8742358012557894E-3</v>
      </c>
      <c r="D25" s="18">
        <f>NWC!D14</f>
        <v>8.3181597563367574E-3</v>
      </c>
      <c r="E25" s="18">
        <f>NWC!E14</f>
        <v>8.5779253658525602E-3</v>
      </c>
      <c r="F25" s="19">
        <v>8.9999999999999993E-3</v>
      </c>
      <c r="G25" s="19">
        <v>8.9999999999999993E-3</v>
      </c>
      <c r="H25" s="19">
        <v>8.9999999999999993E-3</v>
      </c>
      <c r="I25" s="19">
        <v>8.9999999999999993E-3</v>
      </c>
      <c r="J25" s="19">
        <v>8.9999999999999993E-3</v>
      </c>
      <c r="K25" s="1"/>
      <c r="L25" s="20" t="s">
        <v>118</v>
      </c>
      <c r="M25" s="20" t="s">
        <v>87</v>
      </c>
      <c r="N25" s="1"/>
    </row>
    <row r="26" spans="1:14" ht="18" customHeight="1">
      <c r="A26" s="1"/>
      <c r="B26" s="1" t="s">
        <v>119</v>
      </c>
      <c r="C26" s="18">
        <f>NWC!C18</f>
        <v>7.2246106486610395E-2</v>
      </c>
      <c r="D26" s="18">
        <f>NWC!D18</f>
        <v>9.7011938125168409E-2</v>
      </c>
      <c r="E26" s="18">
        <f>NWC!E18</f>
        <v>8.092230766640772E-2</v>
      </c>
      <c r="F26" s="19">
        <v>8.0922296408070596E-2</v>
      </c>
      <c r="G26" s="19">
        <v>8.0922296408070596E-2</v>
      </c>
      <c r="H26" s="19">
        <v>8.0922296408070596E-2</v>
      </c>
      <c r="I26" s="19">
        <v>8.0922296408070596E-2</v>
      </c>
      <c r="J26" s="19">
        <v>8.0922296408070596E-2</v>
      </c>
      <c r="K26" s="1"/>
      <c r="L26" s="20" t="s">
        <v>540</v>
      </c>
      <c r="M26" s="20" t="s">
        <v>87</v>
      </c>
      <c r="N26" s="1"/>
    </row>
    <row r="27" spans="1:14" ht="18" customHeight="1">
      <c r="A27" s="1"/>
      <c r="B27" s="1"/>
      <c r="C27" s="1"/>
      <c r="D27" s="1"/>
      <c r="E27" s="1"/>
      <c r="F27" s="1"/>
      <c r="G27" s="1"/>
      <c r="H27" s="1"/>
      <c r="I27" s="1"/>
      <c r="J27" s="1"/>
      <c r="K27" s="1"/>
      <c r="L27" s="20"/>
      <c r="M27" s="20"/>
      <c r="N27" s="1"/>
    </row>
    <row r="28" spans="1:14" ht="18" customHeight="1">
      <c r="A28" s="1"/>
      <c r="B28" s="1"/>
      <c r="C28" s="1"/>
      <c r="D28" s="1"/>
      <c r="E28" s="1"/>
      <c r="F28" s="1"/>
      <c r="G28" s="1"/>
      <c r="H28" s="1"/>
      <c r="I28" s="1"/>
      <c r="J28" s="1"/>
      <c r="K28" s="1"/>
      <c r="L28" s="20"/>
      <c r="M28" s="20"/>
      <c r="N28" s="1"/>
    </row>
    <row r="29" spans="1:14" ht="18" customHeight="1">
      <c r="A29" s="1"/>
      <c r="B29" s="97" t="s">
        <v>120</v>
      </c>
      <c r="C29" s="97" t="s">
        <v>120</v>
      </c>
      <c r="D29" s="97" t="s">
        <v>120</v>
      </c>
      <c r="E29" s="97" t="s">
        <v>120</v>
      </c>
      <c r="F29" s="97" t="s">
        <v>120</v>
      </c>
      <c r="G29" s="97" t="s">
        <v>120</v>
      </c>
      <c r="H29" s="97" t="s">
        <v>120</v>
      </c>
      <c r="I29" s="97" t="s">
        <v>120</v>
      </c>
      <c r="J29" s="97" t="s">
        <v>120</v>
      </c>
      <c r="K29" s="97" t="s">
        <v>120</v>
      </c>
      <c r="L29" s="107" t="s">
        <v>120</v>
      </c>
      <c r="M29" s="107" t="s">
        <v>120</v>
      </c>
      <c r="N29" s="1"/>
    </row>
    <row r="30" spans="1:14" ht="18" customHeight="1">
      <c r="A30" s="1"/>
      <c r="B30" s="1" t="s">
        <v>121</v>
      </c>
      <c r="C30" s="19">
        <v>3.1E-2</v>
      </c>
      <c r="D30" s="1"/>
      <c r="E30" s="1"/>
      <c r="F30" s="1"/>
      <c r="G30" s="1"/>
      <c r="H30" s="1"/>
      <c r="I30" s="1"/>
      <c r="J30" s="1"/>
      <c r="K30" s="1"/>
      <c r="L30" s="20" t="s">
        <v>122</v>
      </c>
      <c r="M30" s="20" t="s">
        <v>87</v>
      </c>
      <c r="N30" s="1"/>
    </row>
    <row r="31" spans="1:14" ht="18" customHeight="1">
      <c r="A31" s="1"/>
      <c r="B31" s="1" t="s">
        <v>123</v>
      </c>
      <c r="C31" s="19">
        <v>0.06</v>
      </c>
      <c r="D31" s="1"/>
      <c r="E31" s="1"/>
      <c r="F31" s="1"/>
      <c r="G31" s="1"/>
      <c r="H31" s="1"/>
      <c r="I31" s="1"/>
      <c r="J31" s="1"/>
      <c r="K31" s="1"/>
      <c r="L31" s="20" t="s">
        <v>124</v>
      </c>
      <c r="M31" s="20" t="s">
        <v>87</v>
      </c>
      <c r="N31" s="1"/>
    </row>
    <row r="32" spans="1:14" ht="18" customHeight="1">
      <c r="A32" s="1"/>
      <c r="B32" s="1" t="s">
        <v>125</v>
      </c>
      <c r="C32" s="25">
        <v>0.9</v>
      </c>
      <c r="D32" s="1"/>
      <c r="E32" s="1"/>
      <c r="F32" s="1"/>
      <c r="G32" s="1"/>
      <c r="H32" s="1"/>
      <c r="I32" s="1"/>
      <c r="J32" s="1"/>
      <c r="K32" s="1"/>
      <c r="L32" s="20" t="s">
        <v>126</v>
      </c>
      <c r="M32" s="20" t="s">
        <v>87</v>
      </c>
      <c r="N32" s="1"/>
    </row>
    <row r="33" spans="1:14" ht="18" customHeight="1">
      <c r="A33" s="1"/>
      <c r="B33" s="1" t="s">
        <v>127</v>
      </c>
      <c r="C33" s="19">
        <v>1.2999999999999999E-2</v>
      </c>
      <c r="D33" s="1"/>
      <c r="E33" s="1"/>
      <c r="F33" s="1"/>
      <c r="G33" s="1"/>
      <c r="H33" s="1"/>
      <c r="I33" s="1"/>
      <c r="J33" s="1"/>
      <c r="K33" s="1"/>
      <c r="L33" s="20" t="s">
        <v>128</v>
      </c>
      <c r="M33" s="20" t="s">
        <v>87</v>
      </c>
      <c r="N33" s="1"/>
    </row>
    <row r="34" spans="1:14" ht="18" customHeight="1">
      <c r="A34" s="1"/>
      <c r="B34" s="1" t="s">
        <v>129</v>
      </c>
      <c r="C34" s="19">
        <v>4.4999999999999998E-2</v>
      </c>
      <c r="D34" s="1"/>
      <c r="E34" s="1"/>
      <c r="F34" s="1"/>
      <c r="G34" s="1"/>
      <c r="H34" s="1"/>
      <c r="I34" s="1"/>
      <c r="J34" s="1"/>
      <c r="K34" s="1"/>
      <c r="L34" s="20" t="s">
        <v>130</v>
      </c>
      <c r="M34" s="20" t="s">
        <v>87</v>
      </c>
      <c r="N34" s="1"/>
    </row>
    <row r="35" spans="1:14" ht="18" customHeight="1">
      <c r="A35" s="1"/>
      <c r="B35" s="1" t="s">
        <v>131</v>
      </c>
      <c r="C35" s="19">
        <v>0.95</v>
      </c>
      <c r="D35" s="1"/>
      <c r="E35" s="1"/>
      <c r="F35" s="1"/>
      <c r="G35" s="1"/>
      <c r="H35" s="1"/>
      <c r="I35" s="1"/>
      <c r="J35" s="1"/>
      <c r="K35" s="1"/>
      <c r="L35" s="20" t="s">
        <v>132</v>
      </c>
      <c r="M35" s="20" t="s">
        <v>87</v>
      </c>
      <c r="N35" s="1"/>
    </row>
    <row r="36" spans="1:14" ht="18" customHeight="1">
      <c r="A36" s="1"/>
      <c r="B36" s="1" t="s">
        <v>133</v>
      </c>
      <c r="C36" s="19">
        <v>0.05</v>
      </c>
      <c r="D36" s="1"/>
      <c r="E36" s="1"/>
      <c r="F36" s="1"/>
      <c r="G36" s="1"/>
      <c r="H36" s="1"/>
      <c r="I36" s="1"/>
      <c r="J36" s="1"/>
      <c r="K36" s="1"/>
      <c r="L36" s="20" t="s">
        <v>134</v>
      </c>
      <c r="M36" s="20" t="s">
        <v>87</v>
      </c>
      <c r="N36" s="1"/>
    </row>
    <row r="37" spans="1:14" ht="18" customHeight="1">
      <c r="A37" s="1"/>
      <c r="B37" s="1" t="s">
        <v>135</v>
      </c>
      <c r="C37" s="19">
        <v>0.02</v>
      </c>
      <c r="D37" s="1"/>
      <c r="E37" s="1"/>
      <c r="F37" s="1"/>
      <c r="G37" s="1"/>
      <c r="H37" s="1"/>
      <c r="I37" s="1"/>
      <c r="J37" s="1"/>
      <c r="K37" s="1"/>
      <c r="L37" s="20" t="s">
        <v>136</v>
      </c>
      <c r="M37" s="20" t="s">
        <v>87</v>
      </c>
      <c r="N37" s="1"/>
    </row>
    <row r="38" spans="1:14" ht="18" customHeight="1">
      <c r="A38" s="1"/>
      <c r="B38" s="1" t="s">
        <v>137</v>
      </c>
      <c r="C38" s="26">
        <v>8</v>
      </c>
      <c r="D38" s="1"/>
      <c r="E38" s="1"/>
      <c r="F38" s="1"/>
      <c r="G38" s="1"/>
      <c r="H38" s="1"/>
      <c r="I38" s="1"/>
      <c r="J38" s="1"/>
      <c r="K38" s="1"/>
      <c r="L38" s="20" t="s">
        <v>138</v>
      </c>
      <c r="M38" s="20" t="s">
        <v>87</v>
      </c>
      <c r="N38" s="1"/>
    </row>
    <row r="39" spans="1:14" ht="18" customHeight="1">
      <c r="A39" s="1"/>
      <c r="B39" s="1" t="s">
        <v>139</v>
      </c>
      <c r="C39" s="19">
        <v>0.02</v>
      </c>
      <c r="D39" s="1"/>
      <c r="E39" s="1"/>
      <c r="F39" s="1"/>
      <c r="G39" s="1"/>
      <c r="H39" s="1"/>
      <c r="I39" s="1"/>
      <c r="J39" s="1"/>
      <c r="K39" s="1"/>
      <c r="L39" s="20" t="s">
        <v>140</v>
      </c>
      <c r="M39" s="20" t="s">
        <v>87</v>
      </c>
      <c r="N39" s="1"/>
    </row>
    <row r="40" spans="1:14" ht="18" customHeight="1">
      <c r="A40" s="1"/>
      <c r="B40" s="1"/>
      <c r="C40" s="1"/>
      <c r="D40" s="1"/>
      <c r="E40" s="1"/>
      <c r="F40" s="1"/>
      <c r="G40" s="1"/>
      <c r="H40" s="1"/>
      <c r="I40" s="1"/>
      <c r="J40" s="1"/>
      <c r="K40" s="1"/>
      <c r="L40" s="20"/>
      <c r="M40" s="20"/>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5">
    <mergeCell ref="B1:M2"/>
    <mergeCell ref="B6:M6"/>
    <mergeCell ref="B12:M12"/>
    <mergeCell ref="B21:M21"/>
    <mergeCell ref="B29:M29"/>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20"/>
  <sheetViews>
    <sheetView showGridLines="0" workbookViewId="0"/>
  </sheetViews>
  <sheetFormatPr defaultRowHeight="14.25"/>
  <cols>
    <col min="1" max="1" width="3" customWidth="1"/>
    <col min="2" max="2" width="47" customWidth="1"/>
    <col min="3" max="3" width="12" customWidth="1"/>
    <col min="4" max="7" width="13" customWidth="1"/>
    <col min="8" max="8" width="52" customWidth="1"/>
    <col min="9" max="10" width="13" customWidth="1"/>
    <col min="11" max="11" width="3" customWidth="1"/>
    <col min="12" max="14" width="20" customWidth="1"/>
  </cols>
  <sheetData>
    <row r="1" spans="1:14" ht="18" customHeight="1">
      <c r="A1" s="1"/>
      <c r="B1" s="90" t="s">
        <v>141</v>
      </c>
      <c r="C1" s="90" t="s">
        <v>141</v>
      </c>
      <c r="D1" s="90" t="s">
        <v>141</v>
      </c>
      <c r="E1" s="90" t="s">
        <v>141</v>
      </c>
      <c r="F1" s="90" t="s">
        <v>141</v>
      </c>
      <c r="G1" s="90" t="s">
        <v>141</v>
      </c>
      <c r="H1" s="90" t="s">
        <v>141</v>
      </c>
      <c r="I1" s="1"/>
      <c r="J1" s="1"/>
      <c r="K1" s="1"/>
      <c r="L1" s="1"/>
      <c r="M1" s="1"/>
      <c r="N1" s="1"/>
    </row>
    <row r="2" spans="1:14" ht="18" customHeight="1">
      <c r="A2" s="1"/>
      <c r="B2" s="90" t="s">
        <v>141</v>
      </c>
      <c r="C2" s="90" t="s">
        <v>141</v>
      </c>
      <c r="D2" s="90" t="s">
        <v>141</v>
      </c>
      <c r="E2" s="90" t="s">
        <v>141</v>
      </c>
      <c r="F2" s="90" t="s">
        <v>141</v>
      </c>
      <c r="G2" s="90" t="s">
        <v>141</v>
      </c>
      <c r="H2" s="90" t="s">
        <v>141</v>
      </c>
      <c r="I2" s="1"/>
      <c r="J2" s="1"/>
      <c r="K2" s="1"/>
      <c r="L2" s="1"/>
      <c r="M2" s="1"/>
      <c r="N2" s="1"/>
    </row>
    <row r="3" spans="1:14" ht="18" customHeight="1">
      <c r="A3" s="1"/>
      <c r="B3" s="1"/>
      <c r="C3" s="1"/>
      <c r="D3" s="1"/>
      <c r="E3" s="1"/>
      <c r="F3" s="1"/>
      <c r="G3" s="1"/>
      <c r="H3" s="1"/>
      <c r="I3" s="1"/>
      <c r="J3" s="1"/>
      <c r="K3" s="1"/>
      <c r="L3" s="1"/>
      <c r="M3" s="1"/>
      <c r="N3" s="1"/>
    </row>
    <row r="4" spans="1:14" ht="18" customHeight="1">
      <c r="A4" s="1"/>
      <c r="B4" s="14" t="s">
        <v>142</v>
      </c>
      <c r="C4" s="14" t="s">
        <v>143</v>
      </c>
      <c r="D4" s="15">
        <v>45291</v>
      </c>
      <c r="E4" s="15">
        <v>45657</v>
      </c>
      <c r="F4" s="15">
        <v>46022</v>
      </c>
      <c r="G4" s="17" t="s">
        <v>144</v>
      </c>
      <c r="H4" s="17" t="s">
        <v>145</v>
      </c>
      <c r="I4" s="1"/>
      <c r="J4" s="1"/>
      <c r="K4" s="1"/>
      <c r="L4" s="1"/>
      <c r="M4" s="1"/>
      <c r="N4" s="1"/>
    </row>
    <row r="5" spans="1:14" ht="18" customHeight="1">
      <c r="A5" s="1"/>
      <c r="B5" s="1"/>
      <c r="C5" s="1"/>
      <c r="D5" s="1"/>
      <c r="E5" s="1"/>
      <c r="F5" s="1"/>
      <c r="G5" s="1"/>
      <c r="H5" s="1"/>
      <c r="I5" s="1"/>
      <c r="J5" s="1"/>
      <c r="K5" s="1"/>
      <c r="L5" s="1"/>
      <c r="M5" s="1"/>
      <c r="N5" s="1"/>
    </row>
    <row r="6" spans="1:14" ht="18" customHeight="1">
      <c r="A6" s="1"/>
      <c r="B6" s="97" t="s">
        <v>146</v>
      </c>
      <c r="C6" s="97" t="s">
        <v>146</v>
      </c>
      <c r="D6" s="97" t="s">
        <v>146</v>
      </c>
      <c r="E6" s="97" t="s">
        <v>146</v>
      </c>
      <c r="F6" s="97" t="s">
        <v>146</v>
      </c>
      <c r="G6" s="97" t="s">
        <v>146</v>
      </c>
      <c r="H6" s="97" t="s">
        <v>146</v>
      </c>
      <c r="I6" s="1"/>
      <c r="J6" s="1"/>
      <c r="K6" s="1"/>
      <c r="L6" s="1"/>
      <c r="M6" s="1"/>
      <c r="N6" s="1"/>
    </row>
    <row r="7" spans="1:14" ht="18" customHeight="1">
      <c r="A7" s="1"/>
      <c r="B7" s="1" t="s">
        <v>147</v>
      </c>
      <c r="C7" s="1" t="s">
        <v>148</v>
      </c>
      <c r="D7" s="27">
        <v>2912358.0514750001</v>
      </c>
      <c r="E7" s="27">
        <v>3104338.5761290002</v>
      </c>
      <c r="F7" s="27">
        <v>3332442.5363730001</v>
      </c>
      <c r="G7" s="1" t="s">
        <v>149</v>
      </c>
      <c r="H7" s="20" t="s">
        <v>150</v>
      </c>
      <c r="I7" s="1"/>
      <c r="J7" s="1"/>
      <c r="K7" s="1"/>
      <c r="L7" s="1"/>
      <c r="M7" s="1"/>
      <c r="N7" s="1"/>
    </row>
    <row r="8" spans="1:14" ht="18" customHeight="1">
      <c r="A8" s="1"/>
      <c r="B8" s="1" t="s">
        <v>151</v>
      </c>
      <c r="C8" s="1" t="s">
        <v>148</v>
      </c>
      <c r="D8" s="27">
        <v>-1784947.0551130001</v>
      </c>
      <c r="E8" s="27">
        <v>-1908164.043915</v>
      </c>
      <c r="F8" s="27">
        <v>-2109116.4369040001</v>
      </c>
      <c r="G8" s="1" t="s">
        <v>149</v>
      </c>
      <c r="H8" s="20" t="s">
        <v>152</v>
      </c>
      <c r="I8" s="1"/>
      <c r="J8" s="1"/>
      <c r="K8" s="1"/>
      <c r="L8" s="1"/>
      <c r="M8" s="1"/>
      <c r="N8" s="1"/>
    </row>
    <row r="9" spans="1:14" ht="18" customHeight="1">
      <c r="A9" s="1"/>
      <c r="B9" s="28" t="s">
        <v>153</v>
      </c>
      <c r="C9" s="28" t="s">
        <v>148</v>
      </c>
      <c r="D9" s="29">
        <v>1127410.996362</v>
      </c>
      <c r="E9" s="29">
        <v>1196174.5322139999</v>
      </c>
      <c r="F9" s="29">
        <v>1223326.099469</v>
      </c>
      <c r="G9" s="1" t="s">
        <v>149</v>
      </c>
      <c r="H9" s="20" t="s">
        <v>150</v>
      </c>
      <c r="I9" s="1"/>
      <c r="J9" s="1"/>
      <c r="K9" s="1"/>
      <c r="L9" s="1"/>
      <c r="M9" s="1"/>
      <c r="N9" s="1"/>
    </row>
    <row r="10" spans="1:14" ht="18" customHeight="1">
      <c r="A10" s="1"/>
      <c r="B10" s="1" t="s">
        <v>154</v>
      </c>
      <c r="C10" s="1" t="s">
        <v>148</v>
      </c>
      <c r="D10" s="27">
        <v>-482412.66648800002</v>
      </c>
      <c r="E10" s="27">
        <v>-496065.56583400001</v>
      </c>
      <c r="F10" s="27">
        <v>-488322.41086100001</v>
      </c>
      <c r="G10" s="1" t="s">
        <v>149</v>
      </c>
      <c r="H10" s="20" t="s">
        <v>150</v>
      </c>
      <c r="I10" s="1"/>
      <c r="J10" s="1"/>
      <c r="K10" s="1"/>
      <c r="L10" s="1"/>
      <c r="M10" s="1"/>
      <c r="N10" s="1"/>
    </row>
    <row r="11" spans="1:14" ht="18" customHeight="1">
      <c r="A11" s="1"/>
      <c r="B11" s="1" t="s">
        <v>155</v>
      </c>
      <c r="C11" s="1" t="s">
        <v>148</v>
      </c>
      <c r="D11" s="27">
        <v>-152607.18036999999</v>
      </c>
      <c r="E11" s="27">
        <v>-156521.18813900001</v>
      </c>
      <c r="F11" s="27">
        <v>-176745.66141599999</v>
      </c>
      <c r="G11" s="1" t="s">
        <v>149</v>
      </c>
      <c r="H11" s="20" t="s">
        <v>150</v>
      </c>
      <c r="I11" s="1"/>
      <c r="J11" s="1"/>
      <c r="K11" s="1"/>
      <c r="L11" s="1"/>
      <c r="M11" s="1"/>
      <c r="N11" s="1"/>
    </row>
    <row r="12" spans="1:14" ht="18" customHeight="1">
      <c r="A12" s="1"/>
      <c r="B12" s="28" t="s">
        <v>156</v>
      </c>
      <c r="C12" s="28" t="s">
        <v>148</v>
      </c>
      <c r="D12" s="29">
        <v>492391.14950399997</v>
      </c>
      <c r="E12" s="29">
        <v>543587.77824100002</v>
      </c>
      <c r="F12" s="29">
        <v>558258.02719199995</v>
      </c>
      <c r="G12" s="1" t="s">
        <v>149</v>
      </c>
      <c r="H12" s="20" t="s">
        <v>157</v>
      </c>
      <c r="I12" s="1"/>
      <c r="J12" s="1"/>
      <c r="K12" s="1"/>
      <c r="L12" s="1"/>
      <c r="M12" s="1"/>
      <c r="N12" s="1"/>
    </row>
    <row r="13" spans="1:14" ht="18" customHeight="1">
      <c r="A13" s="1"/>
      <c r="B13" s="1" t="s">
        <v>158</v>
      </c>
      <c r="C13" s="1" t="s">
        <v>148</v>
      </c>
      <c r="D13" s="27">
        <v>-7133.9276870000003</v>
      </c>
      <c r="E13" s="27">
        <v>-28951.492483000002</v>
      </c>
      <c r="F13" s="27">
        <v>-5488.6407929999996</v>
      </c>
      <c r="G13" s="1" t="s">
        <v>149</v>
      </c>
      <c r="H13" s="20" t="s">
        <v>150</v>
      </c>
      <c r="I13" s="1"/>
      <c r="J13" s="1"/>
      <c r="K13" s="1"/>
      <c r="L13" s="1"/>
      <c r="M13" s="1"/>
      <c r="N13" s="1"/>
    </row>
    <row r="14" spans="1:14" ht="18" customHeight="1">
      <c r="A14" s="1"/>
      <c r="B14" s="1" t="s">
        <v>159</v>
      </c>
      <c r="C14" s="1" t="s">
        <v>148</v>
      </c>
      <c r="D14" s="27">
        <v>34191.345364000001</v>
      </c>
      <c r="E14" s="27">
        <v>182215.00711199999</v>
      </c>
      <c r="F14" s="27">
        <v>21255.407759999998</v>
      </c>
      <c r="G14" s="1" t="s">
        <v>149</v>
      </c>
      <c r="H14" s="20" t="s">
        <v>160</v>
      </c>
      <c r="I14" s="1"/>
      <c r="J14" s="1"/>
      <c r="K14" s="1"/>
      <c r="L14" s="1"/>
      <c r="M14" s="1"/>
      <c r="N14" s="1"/>
    </row>
    <row r="15" spans="1:14" ht="18" customHeight="1">
      <c r="A15" s="1"/>
      <c r="B15" s="1" t="s">
        <v>161</v>
      </c>
      <c r="C15" s="1" t="s">
        <v>148</v>
      </c>
      <c r="D15" s="27">
        <v>569.34024199999999</v>
      </c>
      <c r="E15" s="27">
        <v>-4635.0105890000004</v>
      </c>
      <c r="F15" s="27">
        <v>-27472.419166</v>
      </c>
      <c r="G15" s="1" t="s">
        <v>149</v>
      </c>
      <c r="H15" s="20" t="s">
        <v>162</v>
      </c>
      <c r="I15" s="1"/>
      <c r="J15" s="1"/>
      <c r="K15" s="1"/>
      <c r="L15" s="1"/>
      <c r="M15" s="1"/>
      <c r="N15" s="1"/>
    </row>
    <row r="16" spans="1:14" ht="18" customHeight="1">
      <c r="A16" s="1"/>
      <c r="B16" s="1" t="s">
        <v>163</v>
      </c>
      <c r="C16" s="1" t="s">
        <v>148</v>
      </c>
      <c r="D16" s="27">
        <v>520017.90742300003</v>
      </c>
      <c r="E16" s="27">
        <v>692216.28228100005</v>
      </c>
      <c r="F16" s="27">
        <v>546552.37499299995</v>
      </c>
      <c r="G16" s="1" t="s">
        <v>149</v>
      </c>
      <c r="H16" s="20" t="s">
        <v>150</v>
      </c>
      <c r="I16" s="1"/>
      <c r="J16" s="1"/>
      <c r="K16" s="1"/>
      <c r="L16" s="1"/>
      <c r="M16" s="1"/>
      <c r="N16" s="1"/>
    </row>
    <row r="17" spans="1:14" ht="18" customHeight="1">
      <c r="A17" s="1"/>
      <c r="B17" s="1" t="s">
        <v>164</v>
      </c>
      <c r="C17" s="1" t="s">
        <v>148</v>
      </c>
      <c r="D17" s="27">
        <v>-135035.95217400001</v>
      </c>
      <c r="E17" s="27">
        <v>-158986.72985900001</v>
      </c>
      <c r="F17" s="27">
        <v>-155954.811819</v>
      </c>
      <c r="G17" s="1" t="s">
        <v>149</v>
      </c>
      <c r="H17" s="20" t="s">
        <v>152</v>
      </c>
      <c r="I17" s="1"/>
      <c r="J17" s="1"/>
      <c r="K17" s="1"/>
      <c r="L17" s="1"/>
      <c r="M17" s="1"/>
      <c r="N17" s="1"/>
    </row>
    <row r="18" spans="1:14" ht="18" customHeight="1">
      <c r="A18" s="1"/>
      <c r="B18" s="28" t="s">
        <v>165</v>
      </c>
      <c r="C18" s="28" t="s">
        <v>148</v>
      </c>
      <c r="D18" s="29">
        <v>384981.95524899999</v>
      </c>
      <c r="E18" s="29">
        <v>533229.55242199998</v>
      </c>
      <c r="F18" s="29">
        <v>390597.56317400001</v>
      </c>
      <c r="G18" s="1" t="s">
        <v>149</v>
      </c>
      <c r="H18" s="20" t="s">
        <v>150</v>
      </c>
      <c r="I18" s="1"/>
      <c r="J18" s="1"/>
      <c r="K18" s="1"/>
      <c r="L18" s="1"/>
      <c r="M18" s="1"/>
      <c r="N18" s="1"/>
    </row>
    <row r="19" spans="1:14" ht="18" customHeight="1">
      <c r="A19" s="1"/>
      <c r="B19" s="30" t="s">
        <v>166</v>
      </c>
      <c r="C19" s="30" t="s">
        <v>167</v>
      </c>
      <c r="D19" s="31">
        <f>D12+D27</f>
        <v>649583.12050399999</v>
      </c>
      <c r="E19" s="31">
        <f>E12+E27</f>
        <v>704039.17624099995</v>
      </c>
      <c r="F19" s="31">
        <f>F12+F27</f>
        <v>722873.92219199997</v>
      </c>
      <c r="G19" s="1" t="s">
        <v>149</v>
      </c>
      <c r="H19" s="20" t="s">
        <v>168</v>
      </c>
      <c r="I19" s="1"/>
      <c r="J19" s="1"/>
      <c r="K19" s="1"/>
      <c r="L19" s="1"/>
      <c r="M19" s="1"/>
      <c r="N19" s="1"/>
    </row>
    <row r="20" spans="1:14" ht="18" customHeight="1">
      <c r="A20" s="1"/>
      <c r="B20" s="1"/>
      <c r="C20" s="1"/>
      <c r="D20" s="32"/>
      <c r="E20" s="32"/>
      <c r="F20" s="32"/>
      <c r="G20" s="1"/>
      <c r="H20" s="20"/>
      <c r="I20" s="1"/>
      <c r="J20" s="1"/>
      <c r="K20" s="1"/>
      <c r="L20" s="1"/>
      <c r="M20" s="1"/>
      <c r="N20" s="1"/>
    </row>
    <row r="21" spans="1:14" ht="18" customHeight="1">
      <c r="A21" s="1"/>
      <c r="B21" s="1" t="s">
        <v>169</v>
      </c>
      <c r="C21" s="1" t="s">
        <v>167</v>
      </c>
      <c r="D21" s="33"/>
      <c r="E21" s="33">
        <f>E7/D7-1</f>
        <v>6.5919272720182498E-2</v>
      </c>
      <c r="F21" s="33">
        <f>F7/E7-1</f>
        <v>7.3479085689305723E-2</v>
      </c>
      <c r="G21" s="1"/>
      <c r="H21" s="20"/>
      <c r="I21" s="1"/>
      <c r="J21" s="1"/>
      <c r="K21" s="1"/>
      <c r="L21" s="1"/>
      <c r="M21" s="1"/>
      <c r="N21" s="1"/>
    </row>
    <row r="22" spans="1:14" ht="18" customHeight="1">
      <c r="A22" s="1"/>
      <c r="B22" s="1" t="s">
        <v>170</v>
      </c>
      <c r="C22" s="1" t="s">
        <v>167</v>
      </c>
      <c r="D22" s="33">
        <f>D9/D7</f>
        <v>0.38711277131292582</v>
      </c>
      <c r="E22" s="33">
        <f>E9/E7</f>
        <v>0.3853234764442437</v>
      </c>
      <c r="F22" s="33">
        <f>F9/F7</f>
        <v>0.36709593222287246</v>
      </c>
      <c r="G22" s="1"/>
      <c r="H22" s="20"/>
      <c r="I22" s="1"/>
      <c r="J22" s="1"/>
      <c r="K22" s="1"/>
      <c r="L22" s="1"/>
      <c r="M22" s="1"/>
      <c r="N22" s="1"/>
    </row>
    <row r="23" spans="1:14" ht="18" customHeight="1">
      <c r="A23" s="1"/>
      <c r="B23" s="1" t="s">
        <v>171</v>
      </c>
      <c r="C23" s="1" t="s">
        <v>167</v>
      </c>
      <c r="D23" s="33">
        <f>D12/D7</f>
        <v>0.16906957894638755</v>
      </c>
      <c r="E23" s="33">
        <f>E12/E7</f>
        <v>0.17510582847533165</v>
      </c>
      <c r="F23" s="33">
        <f>F12/F7</f>
        <v>0.16752217663131946</v>
      </c>
      <c r="G23" s="1"/>
      <c r="H23" s="20"/>
      <c r="I23" s="1"/>
      <c r="J23" s="1"/>
      <c r="K23" s="1"/>
      <c r="L23" s="1"/>
      <c r="M23" s="1"/>
      <c r="N23" s="1"/>
    </row>
    <row r="24" spans="1:14" ht="18" customHeight="1">
      <c r="A24" s="1"/>
      <c r="B24" s="1" t="s">
        <v>172</v>
      </c>
      <c r="C24" s="1" t="s">
        <v>167</v>
      </c>
      <c r="D24" s="33">
        <f>-D17/D16</f>
        <v>0.25967558087217413</v>
      </c>
      <c r="E24" s="33">
        <f>-E17/E16</f>
        <v>0.22967782458844349</v>
      </c>
      <c r="F24" s="33">
        <f>-F17/F16</f>
        <v>0.28534284901972551</v>
      </c>
      <c r="G24" s="1"/>
      <c r="H24" s="20"/>
      <c r="I24" s="1"/>
      <c r="J24" s="1"/>
      <c r="K24" s="1"/>
      <c r="L24" s="1"/>
      <c r="M24" s="1"/>
      <c r="N24" s="1"/>
    </row>
    <row r="25" spans="1:14" ht="18" customHeight="1">
      <c r="A25" s="1"/>
      <c r="B25" s="1"/>
      <c r="C25" s="1"/>
      <c r="D25" s="32"/>
      <c r="E25" s="32"/>
      <c r="F25" s="32"/>
      <c r="G25" s="1"/>
      <c r="H25" s="20"/>
      <c r="I25" s="1"/>
      <c r="J25" s="1"/>
      <c r="K25" s="1"/>
      <c r="L25" s="1"/>
      <c r="M25" s="1"/>
      <c r="N25" s="1"/>
    </row>
    <row r="26" spans="1:14" ht="18" customHeight="1">
      <c r="A26" s="1"/>
      <c r="B26" s="97" t="s">
        <v>173</v>
      </c>
      <c r="C26" s="97" t="s">
        <v>173</v>
      </c>
      <c r="D26" s="108" t="s">
        <v>173</v>
      </c>
      <c r="E26" s="108" t="s">
        <v>173</v>
      </c>
      <c r="F26" s="108" t="s">
        <v>173</v>
      </c>
      <c r="G26" s="97" t="s">
        <v>173</v>
      </c>
      <c r="H26" s="107" t="s">
        <v>173</v>
      </c>
      <c r="I26" s="1"/>
      <c r="J26" s="1"/>
      <c r="K26" s="1"/>
      <c r="L26" s="1"/>
      <c r="M26" s="1"/>
      <c r="N26" s="1"/>
    </row>
    <row r="27" spans="1:14" ht="18" customHeight="1">
      <c r="A27" s="1"/>
      <c r="B27" s="1" t="s">
        <v>174</v>
      </c>
      <c r="C27" s="1" t="s">
        <v>175</v>
      </c>
      <c r="D27" s="27">
        <v>157191.97099999999</v>
      </c>
      <c r="E27" s="27">
        <v>160451.39799999999</v>
      </c>
      <c r="F27" s="27">
        <v>164615.89499999999</v>
      </c>
      <c r="G27" s="1" t="s">
        <v>149</v>
      </c>
      <c r="H27" s="20" t="s">
        <v>176</v>
      </c>
      <c r="I27" s="1"/>
      <c r="J27" s="1"/>
      <c r="K27" s="1"/>
      <c r="L27" s="1"/>
      <c r="M27" s="1"/>
      <c r="N27" s="1"/>
    </row>
    <row r="28" spans="1:14" ht="18" customHeight="1">
      <c r="A28" s="1"/>
      <c r="B28" s="1" t="s">
        <v>177</v>
      </c>
      <c r="C28" s="1" t="s">
        <v>175</v>
      </c>
      <c r="D28" s="27">
        <v>166473.27125799999</v>
      </c>
      <c r="E28" s="27">
        <v>106937.398828</v>
      </c>
      <c r="F28" s="27">
        <v>122555.59461499999</v>
      </c>
      <c r="G28" s="1" t="s">
        <v>149</v>
      </c>
      <c r="H28" s="20" t="s">
        <v>178</v>
      </c>
      <c r="I28" s="1"/>
      <c r="J28" s="1"/>
      <c r="K28" s="1"/>
      <c r="L28" s="1"/>
      <c r="M28" s="1"/>
      <c r="N28" s="1"/>
    </row>
    <row r="29" spans="1:14" ht="18" customHeight="1">
      <c r="A29" s="1"/>
      <c r="B29" s="1" t="s">
        <v>179</v>
      </c>
      <c r="C29" s="1" t="s">
        <v>175</v>
      </c>
      <c r="D29" s="27">
        <v>2331.3766519999999</v>
      </c>
      <c r="E29" s="27">
        <v>16220.508501</v>
      </c>
      <c r="F29" s="27">
        <v>23759.527941</v>
      </c>
      <c r="G29" s="1" t="s">
        <v>149</v>
      </c>
      <c r="H29" s="20" t="s">
        <v>178</v>
      </c>
      <c r="I29" s="1"/>
      <c r="J29" s="1"/>
      <c r="K29" s="1"/>
      <c r="L29" s="1"/>
      <c r="M29" s="1"/>
      <c r="N29" s="1"/>
    </row>
    <row r="30" spans="1:14" ht="18" customHeight="1">
      <c r="A30" s="1"/>
      <c r="B30" s="28" t="s">
        <v>180</v>
      </c>
      <c r="C30" s="28" t="s">
        <v>167</v>
      </c>
      <c r="D30" s="29">
        <f>SUM(D28:D29)</f>
        <v>168804.64791</v>
      </c>
      <c r="E30" s="29">
        <f>SUM(E28:E29)</f>
        <v>123157.90732900001</v>
      </c>
      <c r="F30" s="29">
        <f>SUM(F28:F29)</f>
        <v>146315.12255599999</v>
      </c>
      <c r="G30" s="1" t="s">
        <v>149</v>
      </c>
      <c r="H30" s="20" t="s">
        <v>181</v>
      </c>
      <c r="I30" s="1"/>
      <c r="J30" s="1"/>
      <c r="K30" s="1"/>
      <c r="L30" s="1"/>
      <c r="M30" s="1"/>
      <c r="N30" s="1"/>
    </row>
    <row r="31" spans="1:14" ht="18" customHeight="1">
      <c r="A31" s="1"/>
      <c r="B31" s="1" t="s">
        <v>182</v>
      </c>
      <c r="C31" s="1" t="s">
        <v>175</v>
      </c>
      <c r="D31" s="27">
        <v>436961.97354500002</v>
      </c>
      <c r="E31" s="27">
        <v>651588.43655099999</v>
      </c>
      <c r="F31" s="27">
        <v>537328.13491000002</v>
      </c>
      <c r="G31" s="1" t="s">
        <v>149</v>
      </c>
      <c r="H31" s="20" t="s">
        <v>150</v>
      </c>
      <c r="I31" s="1"/>
      <c r="J31" s="1"/>
      <c r="K31" s="1"/>
      <c r="L31" s="1"/>
      <c r="M31" s="1"/>
      <c r="N31" s="1"/>
    </row>
    <row r="32" spans="1:14" ht="18" customHeight="1">
      <c r="A32" s="1"/>
      <c r="B32" s="1" t="s">
        <v>183</v>
      </c>
      <c r="C32" s="1" t="s">
        <v>175</v>
      </c>
      <c r="D32" s="27">
        <v>-107809.93236599999</v>
      </c>
      <c r="E32" s="27">
        <v>68739.250136999995</v>
      </c>
      <c r="F32" s="27">
        <v>-69986.532298000006</v>
      </c>
      <c r="G32" s="1" t="s">
        <v>149</v>
      </c>
      <c r="H32" s="20" t="s">
        <v>184</v>
      </c>
      <c r="I32" s="1"/>
      <c r="J32" s="1"/>
      <c r="K32" s="1"/>
      <c r="L32" s="1"/>
      <c r="M32" s="1"/>
      <c r="N32" s="1"/>
    </row>
    <row r="33" spans="1:14" ht="18" customHeight="1">
      <c r="A33" s="1"/>
      <c r="B33" s="1"/>
      <c r="C33" s="1"/>
      <c r="D33" s="32"/>
      <c r="E33" s="32"/>
      <c r="F33" s="32"/>
      <c r="G33" s="1"/>
      <c r="H33" s="20"/>
      <c r="I33" s="1"/>
      <c r="J33" s="1"/>
      <c r="K33" s="1"/>
      <c r="L33" s="1"/>
      <c r="M33" s="1"/>
      <c r="N33" s="1"/>
    </row>
    <row r="34" spans="1:14" ht="18" customHeight="1">
      <c r="A34" s="1"/>
      <c r="B34" s="97" t="s">
        <v>185</v>
      </c>
      <c r="C34" s="97" t="s">
        <v>185</v>
      </c>
      <c r="D34" s="108" t="s">
        <v>185</v>
      </c>
      <c r="E34" s="108" t="s">
        <v>185</v>
      </c>
      <c r="F34" s="108" t="s">
        <v>185</v>
      </c>
      <c r="G34" s="97" t="s">
        <v>185</v>
      </c>
      <c r="H34" s="107" t="s">
        <v>185</v>
      </c>
      <c r="I34" s="1"/>
      <c r="J34" s="1"/>
      <c r="K34" s="1"/>
      <c r="L34" s="1"/>
      <c r="M34" s="1"/>
      <c r="N34" s="1"/>
    </row>
    <row r="35" spans="1:14" ht="18" customHeight="1">
      <c r="A35" s="1"/>
      <c r="B35" s="1" t="s">
        <v>186</v>
      </c>
      <c r="C35" s="1" t="s">
        <v>187</v>
      </c>
      <c r="D35" s="27">
        <v>365849.669841</v>
      </c>
      <c r="E35" s="27">
        <v>451277.28364799998</v>
      </c>
      <c r="F35" s="27">
        <v>311390.94445900002</v>
      </c>
      <c r="G35" s="1" t="s">
        <v>149</v>
      </c>
      <c r="H35" s="20" t="s">
        <v>150</v>
      </c>
      <c r="I35" s="1"/>
      <c r="J35" s="1"/>
      <c r="K35" s="1"/>
      <c r="L35" s="1"/>
      <c r="M35" s="1"/>
      <c r="N35" s="1"/>
    </row>
    <row r="36" spans="1:14" ht="18" customHeight="1">
      <c r="A36" s="1"/>
      <c r="B36" s="1" t="s">
        <v>188</v>
      </c>
      <c r="C36" s="1" t="s">
        <v>187</v>
      </c>
      <c r="D36" s="27">
        <v>730485.10761399998</v>
      </c>
      <c r="E36" s="27">
        <v>606419.81868599996</v>
      </c>
      <c r="F36" s="27">
        <v>986075.62283400004</v>
      </c>
      <c r="G36" s="1" t="s">
        <v>149</v>
      </c>
      <c r="H36" s="20" t="s">
        <v>189</v>
      </c>
      <c r="I36" s="1"/>
      <c r="J36" s="1"/>
      <c r="K36" s="1"/>
      <c r="L36" s="1"/>
      <c r="M36" s="1"/>
      <c r="N36" s="1"/>
    </row>
    <row r="37" spans="1:14" ht="18" customHeight="1">
      <c r="A37" s="1"/>
      <c r="B37" s="1" t="s">
        <v>190</v>
      </c>
      <c r="C37" s="1" t="s">
        <v>187</v>
      </c>
      <c r="D37" s="27">
        <v>0</v>
      </c>
      <c r="E37" s="27">
        <v>5000</v>
      </c>
      <c r="F37" s="27">
        <v>5000</v>
      </c>
      <c r="G37" s="1" t="s">
        <v>149</v>
      </c>
      <c r="H37" s="20" t="s">
        <v>150</v>
      </c>
      <c r="I37" s="1"/>
      <c r="J37" s="1"/>
      <c r="K37" s="1"/>
      <c r="L37" s="1"/>
      <c r="M37" s="1"/>
      <c r="N37" s="1"/>
    </row>
    <row r="38" spans="1:14" ht="18" customHeight="1">
      <c r="A38" s="1"/>
      <c r="B38" s="1" t="s">
        <v>191</v>
      </c>
      <c r="C38" s="1" t="s">
        <v>187</v>
      </c>
      <c r="D38" s="27">
        <v>57846.173849999999</v>
      </c>
      <c r="E38" s="27">
        <v>64195.222504999998</v>
      </c>
      <c r="F38" s="27">
        <v>31192.701874999999</v>
      </c>
      <c r="G38" s="1" t="s">
        <v>149</v>
      </c>
      <c r="H38" s="20" t="s">
        <v>192</v>
      </c>
      <c r="I38" s="1"/>
      <c r="J38" s="1"/>
      <c r="K38" s="1"/>
      <c r="L38" s="1"/>
      <c r="M38" s="1"/>
      <c r="N38" s="1"/>
    </row>
    <row r="39" spans="1:14" ht="18" customHeight="1">
      <c r="A39" s="1"/>
      <c r="B39" s="1" t="s">
        <v>193</v>
      </c>
      <c r="C39" s="1" t="s">
        <v>187</v>
      </c>
      <c r="D39" s="27">
        <v>191028.999866</v>
      </c>
      <c r="E39" s="27">
        <v>177313.941701</v>
      </c>
      <c r="F39" s="27">
        <v>181999.325832</v>
      </c>
      <c r="G39" s="1" t="s">
        <v>149</v>
      </c>
      <c r="H39" s="20" t="s">
        <v>194</v>
      </c>
      <c r="I39" s="1"/>
      <c r="J39" s="1"/>
      <c r="K39" s="1"/>
      <c r="L39" s="1"/>
      <c r="M39" s="1"/>
      <c r="N39" s="1"/>
    </row>
    <row r="40" spans="1:14" ht="18" customHeight="1">
      <c r="A40" s="1"/>
      <c r="B40" s="1" t="s">
        <v>195</v>
      </c>
      <c r="C40" s="1" t="s">
        <v>187</v>
      </c>
      <c r="D40" s="27">
        <v>259736.42755299999</v>
      </c>
      <c r="E40" s="27">
        <v>316592.19940300001</v>
      </c>
      <c r="F40" s="27">
        <v>321414.68328300002</v>
      </c>
      <c r="G40" s="1" t="s">
        <v>149</v>
      </c>
      <c r="H40" s="20" t="s">
        <v>194</v>
      </c>
      <c r="I40" s="1"/>
      <c r="J40" s="1"/>
      <c r="K40" s="1"/>
      <c r="L40" s="1"/>
      <c r="M40" s="1"/>
      <c r="N40" s="1"/>
    </row>
    <row r="41" spans="1:14" ht="18" customHeight="1">
      <c r="A41" s="1"/>
      <c r="B41" s="1" t="s">
        <v>196</v>
      </c>
      <c r="C41" s="1" t="s">
        <v>187</v>
      </c>
      <c r="D41" s="27">
        <v>22932.594034999998</v>
      </c>
      <c r="E41" s="27">
        <v>25822.384214000002</v>
      </c>
      <c r="F41" s="27">
        <v>28585.443362999998</v>
      </c>
      <c r="G41" s="1" t="s">
        <v>149</v>
      </c>
      <c r="H41" s="20" t="s">
        <v>194</v>
      </c>
      <c r="I41" s="1"/>
      <c r="J41" s="1"/>
      <c r="K41" s="1"/>
      <c r="L41" s="1"/>
      <c r="M41" s="1"/>
      <c r="N41" s="1"/>
    </row>
    <row r="42" spans="1:14" ht="18" customHeight="1">
      <c r="A42" s="1"/>
      <c r="B42" s="1" t="s">
        <v>197</v>
      </c>
      <c r="C42" s="1" t="s">
        <v>187</v>
      </c>
      <c r="D42" s="27">
        <v>1658385.9769250001</v>
      </c>
      <c r="E42" s="27">
        <v>1701534.3031029999</v>
      </c>
      <c r="F42" s="27">
        <v>1716028.6014010001</v>
      </c>
      <c r="G42" s="1" t="s">
        <v>149</v>
      </c>
      <c r="H42" s="20" t="s">
        <v>150</v>
      </c>
      <c r="I42" s="1"/>
      <c r="J42" s="1"/>
      <c r="K42" s="1"/>
      <c r="L42" s="1"/>
      <c r="M42" s="1"/>
      <c r="N42" s="1"/>
    </row>
    <row r="43" spans="1:14" ht="18" customHeight="1">
      <c r="A43" s="1"/>
      <c r="B43" s="1" t="s">
        <v>198</v>
      </c>
      <c r="C43" s="1" t="s">
        <v>187</v>
      </c>
      <c r="D43" s="27">
        <v>29911.553917000001</v>
      </c>
      <c r="E43" s="27">
        <v>44970.456176</v>
      </c>
      <c r="F43" s="27">
        <v>64846.197375999996</v>
      </c>
      <c r="G43" s="1" t="s">
        <v>149</v>
      </c>
      <c r="H43" s="20" t="s">
        <v>150</v>
      </c>
      <c r="I43" s="1"/>
      <c r="J43" s="1"/>
      <c r="K43" s="1"/>
      <c r="L43" s="1"/>
      <c r="M43" s="1"/>
      <c r="N43" s="1"/>
    </row>
    <row r="44" spans="1:14" ht="18" customHeight="1">
      <c r="A44" s="1"/>
      <c r="B44" s="1" t="s">
        <v>199</v>
      </c>
      <c r="C44" s="1" t="s">
        <v>187</v>
      </c>
      <c r="D44" s="27">
        <v>23848.783345</v>
      </c>
      <c r="E44" s="27">
        <v>25149.51627</v>
      </c>
      <c r="F44" s="27">
        <v>25371.716852000001</v>
      </c>
      <c r="G44" s="1" t="s">
        <v>149</v>
      </c>
      <c r="H44" s="20" t="s">
        <v>150</v>
      </c>
      <c r="I44" s="1"/>
      <c r="J44" s="1"/>
      <c r="K44" s="1"/>
      <c r="L44" s="1"/>
      <c r="M44" s="1"/>
      <c r="N44" s="1"/>
    </row>
    <row r="45" spans="1:14" ht="18" customHeight="1">
      <c r="A45" s="1"/>
      <c r="B45" s="1" t="s">
        <v>200</v>
      </c>
      <c r="C45" s="1" t="s">
        <v>187</v>
      </c>
      <c r="D45" s="27">
        <v>35381.317138999999</v>
      </c>
      <c r="E45" s="27">
        <v>35014.589327000002</v>
      </c>
      <c r="F45" s="27">
        <v>39900.885383000001</v>
      </c>
      <c r="G45" s="1" t="s">
        <v>149</v>
      </c>
      <c r="H45" s="20" t="s">
        <v>150</v>
      </c>
      <c r="I45" s="1"/>
      <c r="J45" s="1"/>
      <c r="K45" s="1"/>
      <c r="L45" s="1"/>
      <c r="M45" s="1"/>
      <c r="N45" s="1"/>
    </row>
    <row r="46" spans="1:14" ht="18" customHeight="1">
      <c r="A46" s="1"/>
      <c r="B46" s="1" t="s">
        <v>201</v>
      </c>
      <c r="C46" s="1" t="s">
        <v>202</v>
      </c>
      <c r="D46" s="27"/>
      <c r="E46" s="27">
        <v>94203</v>
      </c>
      <c r="F46" s="27">
        <v>103263</v>
      </c>
      <c r="G46" s="1" t="s">
        <v>149</v>
      </c>
      <c r="H46" s="20" t="s">
        <v>203</v>
      </c>
      <c r="I46" s="1"/>
      <c r="J46" s="1"/>
      <c r="K46" s="1"/>
      <c r="L46" s="1"/>
      <c r="M46" s="1"/>
      <c r="N46" s="1"/>
    </row>
    <row r="47" spans="1:14" ht="18" customHeight="1">
      <c r="A47" s="1"/>
      <c r="B47" s="1" t="s">
        <v>204</v>
      </c>
      <c r="C47" s="1" t="s">
        <v>187</v>
      </c>
      <c r="D47" s="27">
        <v>63304.324989000001</v>
      </c>
      <c r="E47" s="27">
        <v>89292.579144000003</v>
      </c>
      <c r="F47" s="27">
        <v>97347.300747000001</v>
      </c>
      <c r="G47" s="1" t="s">
        <v>149</v>
      </c>
      <c r="H47" s="20" t="s">
        <v>150</v>
      </c>
      <c r="I47" s="1"/>
      <c r="J47" s="1"/>
      <c r="K47" s="1"/>
      <c r="L47" s="1"/>
      <c r="M47" s="1"/>
      <c r="N47" s="1"/>
    </row>
    <row r="48" spans="1:14" ht="18" customHeight="1">
      <c r="A48" s="1"/>
      <c r="B48" s="1" t="s">
        <v>205</v>
      </c>
      <c r="C48" s="1" t="s">
        <v>187</v>
      </c>
      <c r="D48" s="27">
        <v>33100.131160999998</v>
      </c>
      <c r="E48" s="27">
        <v>728250.06105000002</v>
      </c>
      <c r="F48" s="27">
        <v>722593.209088</v>
      </c>
      <c r="G48" s="1" t="s">
        <v>149</v>
      </c>
      <c r="H48" s="20" t="s">
        <v>206</v>
      </c>
      <c r="I48" s="1"/>
      <c r="J48" s="1"/>
      <c r="K48" s="1"/>
      <c r="L48" s="1"/>
      <c r="M48" s="1"/>
      <c r="N48" s="1"/>
    </row>
    <row r="49" spans="1:14" ht="18" customHeight="1">
      <c r="A49" s="1"/>
      <c r="B49" s="1" t="s">
        <v>207</v>
      </c>
      <c r="C49" s="1" t="s">
        <v>208</v>
      </c>
      <c r="D49" s="27"/>
      <c r="E49" s="27">
        <v>692237.80900000001</v>
      </c>
      <c r="F49" s="27">
        <v>655780.04200000002</v>
      </c>
      <c r="G49" s="1" t="s">
        <v>149</v>
      </c>
      <c r="H49" s="20" t="s">
        <v>150</v>
      </c>
      <c r="I49" s="1"/>
      <c r="J49" s="1"/>
      <c r="K49" s="1"/>
      <c r="L49" s="1"/>
      <c r="M49" s="1"/>
      <c r="N49" s="1"/>
    </row>
    <row r="50" spans="1:14" ht="18" customHeight="1">
      <c r="A50" s="1"/>
      <c r="B50" s="1" t="s">
        <v>209</v>
      </c>
      <c r="C50" s="1" t="s">
        <v>208</v>
      </c>
      <c r="D50" s="27"/>
      <c r="E50" s="27">
        <v>1020597.847</v>
      </c>
      <c r="F50" s="27">
        <v>1626402.257</v>
      </c>
      <c r="G50" s="1" t="s">
        <v>149</v>
      </c>
      <c r="H50" s="20" t="s">
        <v>210</v>
      </c>
      <c r="I50" s="1"/>
      <c r="J50" s="1"/>
      <c r="K50" s="1"/>
      <c r="L50" s="1"/>
      <c r="M50" s="1"/>
      <c r="N50" s="1"/>
    </row>
    <row r="51" spans="1:14" ht="18" customHeight="1">
      <c r="A51" s="1"/>
      <c r="B51" s="1" t="s">
        <v>211</v>
      </c>
      <c r="C51" s="1" t="s">
        <v>187</v>
      </c>
      <c r="D51" s="27">
        <v>5425.8672999999999</v>
      </c>
      <c r="E51" s="27">
        <v>6038.842686</v>
      </c>
      <c r="F51" s="27">
        <v>5020.5963590000001</v>
      </c>
      <c r="G51" s="1" t="s">
        <v>149</v>
      </c>
      <c r="H51" s="20" t="s">
        <v>203</v>
      </c>
      <c r="I51" s="1"/>
      <c r="J51" s="1"/>
      <c r="K51" s="1"/>
      <c r="L51" s="1"/>
      <c r="M51" s="1"/>
      <c r="N51" s="1"/>
    </row>
    <row r="52" spans="1:14" ht="18" customHeight="1">
      <c r="A52" s="1"/>
      <c r="B52" s="28" t="s">
        <v>212</v>
      </c>
      <c r="C52" s="28" t="s">
        <v>187</v>
      </c>
      <c r="D52" s="29">
        <v>3521385.1278420002</v>
      </c>
      <c r="E52" s="29">
        <v>4308449.7970080003</v>
      </c>
      <c r="F52" s="29">
        <v>4598663.2462999998</v>
      </c>
      <c r="G52" s="1" t="s">
        <v>149</v>
      </c>
      <c r="H52" s="20" t="s">
        <v>150</v>
      </c>
      <c r="I52" s="1"/>
      <c r="J52" s="1"/>
      <c r="K52" s="1"/>
      <c r="L52" s="1"/>
      <c r="M52" s="1"/>
      <c r="N52" s="1"/>
    </row>
    <row r="53" spans="1:14" ht="18" customHeight="1">
      <c r="A53" s="1"/>
      <c r="B53" s="1" t="s">
        <v>213</v>
      </c>
      <c r="C53" s="1" t="s">
        <v>187</v>
      </c>
      <c r="D53" s="27">
        <v>3812.7435559999999</v>
      </c>
      <c r="E53" s="27">
        <v>1148.616411</v>
      </c>
      <c r="F53" s="27">
        <v>0</v>
      </c>
      <c r="G53" s="1" t="s">
        <v>149</v>
      </c>
      <c r="H53" s="20" t="s">
        <v>214</v>
      </c>
      <c r="I53" s="1"/>
      <c r="J53" s="1"/>
      <c r="K53" s="1"/>
      <c r="L53" s="1"/>
      <c r="M53" s="1"/>
      <c r="N53" s="1"/>
    </row>
    <row r="54" spans="1:14" ht="18" customHeight="1">
      <c r="A54" s="1"/>
      <c r="B54" s="1" t="s">
        <v>215</v>
      </c>
      <c r="C54" s="1" t="s">
        <v>187</v>
      </c>
      <c r="D54" s="27">
        <v>10499.670904000001</v>
      </c>
      <c r="E54" s="27">
        <v>12936.730619</v>
      </c>
      <c r="F54" s="27">
        <v>13695.740433999999</v>
      </c>
      <c r="G54" s="1" t="s">
        <v>149</v>
      </c>
      <c r="H54" s="20" t="s">
        <v>216</v>
      </c>
      <c r="I54" s="1"/>
      <c r="J54" s="1"/>
      <c r="K54" s="1"/>
      <c r="L54" s="1"/>
      <c r="M54" s="1"/>
      <c r="N54" s="1"/>
    </row>
    <row r="55" spans="1:14" ht="18" customHeight="1">
      <c r="A55" s="1"/>
      <c r="B55" s="1" t="s">
        <v>217</v>
      </c>
      <c r="C55" s="1" t="s">
        <v>187</v>
      </c>
      <c r="D55" s="27">
        <v>14296.467506999999</v>
      </c>
      <c r="E55" s="27">
        <v>25790.378177999999</v>
      </c>
      <c r="F55" s="27">
        <v>21820.294542</v>
      </c>
      <c r="G55" s="1" t="s">
        <v>149</v>
      </c>
      <c r="H55" s="20" t="s">
        <v>216</v>
      </c>
      <c r="I55" s="1"/>
      <c r="J55" s="1"/>
      <c r="K55" s="1"/>
      <c r="L55" s="1"/>
      <c r="M55" s="1"/>
      <c r="N55" s="1"/>
    </row>
    <row r="56" spans="1:14" ht="18" customHeight="1">
      <c r="A56" s="1"/>
      <c r="B56" s="1" t="s">
        <v>218</v>
      </c>
      <c r="C56" s="1" t="s">
        <v>187</v>
      </c>
      <c r="D56" s="27">
        <v>122719.827001</v>
      </c>
      <c r="E56" s="27">
        <v>163191.290408</v>
      </c>
      <c r="F56" s="27">
        <v>145821.14516700001</v>
      </c>
      <c r="G56" s="1" t="s">
        <v>149</v>
      </c>
      <c r="H56" s="20" t="s">
        <v>194</v>
      </c>
      <c r="I56" s="1"/>
      <c r="J56" s="1"/>
      <c r="K56" s="1"/>
      <c r="L56" s="1"/>
      <c r="M56" s="1"/>
      <c r="N56" s="1"/>
    </row>
    <row r="57" spans="1:14" ht="18" customHeight="1">
      <c r="A57" s="1"/>
      <c r="B57" s="1" t="s">
        <v>219</v>
      </c>
      <c r="C57" s="1" t="s">
        <v>187</v>
      </c>
      <c r="D57" s="27">
        <v>47493.088405000002</v>
      </c>
      <c r="E57" s="27">
        <v>100578.643582</v>
      </c>
      <c r="F57" s="27">
        <v>83886.182686999993</v>
      </c>
      <c r="G57" s="1" t="s">
        <v>149</v>
      </c>
      <c r="H57" s="20" t="s">
        <v>194</v>
      </c>
      <c r="I57" s="1"/>
      <c r="J57" s="1"/>
      <c r="K57" s="1"/>
      <c r="L57" s="1"/>
      <c r="M57" s="1"/>
      <c r="N57" s="1"/>
    </row>
    <row r="58" spans="1:14" ht="18" customHeight="1">
      <c r="A58" s="1"/>
      <c r="B58" s="1" t="s">
        <v>220</v>
      </c>
      <c r="C58" s="1" t="s">
        <v>187</v>
      </c>
      <c r="D58" s="27">
        <v>162913.441509</v>
      </c>
      <c r="E58" s="27">
        <v>200579.25828499999</v>
      </c>
      <c r="F58" s="27">
        <v>199469.757522</v>
      </c>
      <c r="G58" s="1" t="s">
        <v>149</v>
      </c>
      <c r="H58" s="20" t="s">
        <v>194</v>
      </c>
      <c r="I58" s="1"/>
      <c r="J58" s="1"/>
      <c r="K58" s="1"/>
      <c r="L58" s="1"/>
      <c r="M58" s="1"/>
      <c r="N58" s="1"/>
    </row>
    <row r="59" spans="1:14" ht="18" customHeight="1">
      <c r="A59" s="1"/>
      <c r="B59" s="1" t="s">
        <v>54</v>
      </c>
      <c r="C59" s="1" t="s">
        <v>187</v>
      </c>
      <c r="D59" s="27">
        <v>93077.359503</v>
      </c>
      <c r="E59" s="27">
        <v>102810.459437</v>
      </c>
      <c r="F59" s="27">
        <v>103543.70338799999</v>
      </c>
      <c r="G59" s="1" t="s">
        <v>149</v>
      </c>
      <c r="H59" s="20" t="s">
        <v>221</v>
      </c>
      <c r="I59" s="1"/>
      <c r="J59" s="1"/>
      <c r="K59" s="1"/>
      <c r="L59" s="1"/>
      <c r="M59" s="1"/>
      <c r="N59" s="1"/>
    </row>
    <row r="60" spans="1:14" ht="18" customHeight="1">
      <c r="A60" s="1"/>
      <c r="B60" s="28" t="s">
        <v>222</v>
      </c>
      <c r="C60" s="28" t="s">
        <v>187</v>
      </c>
      <c r="D60" s="29">
        <v>565908.17849399999</v>
      </c>
      <c r="E60" s="29">
        <v>734403.92938900006</v>
      </c>
      <c r="F60" s="29">
        <v>686456.14495099999</v>
      </c>
      <c r="G60" s="1" t="s">
        <v>149</v>
      </c>
      <c r="H60" s="20" t="s">
        <v>150</v>
      </c>
      <c r="I60" s="1"/>
      <c r="J60" s="1"/>
      <c r="K60" s="1"/>
      <c r="L60" s="1"/>
      <c r="M60" s="1"/>
      <c r="N60" s="1"/>
    </row>
    <row r="61" spans="1:14" ht="18" customHeight="1">
      <c r="A61" s="1"/>
      <c r="B61" s="30" t="s">
        <v>223</v>
      </c>
      <c r="C61" s="30" t="s">
        <v>187</v>
      </c>
      <c r="D61" s="31">
        <v>2955476.9493479999</v>
      </c>
      <c r="E61" s="31">
        <v>3574045.8676189999</v>
      </c>
      <c r="F61" s="31">
        <v>3912207.1013489999</v>
      </c>
      <c r="G61" s="1" t="s">
        <v>149</v>
      </c>
      <c r="H61" s="20" t="s">
        <v>150</v>
      </c>
      <c r="I61" s="1"/>
      <c r="J61" s="1"/>
      <c r="K61" s="1"/>
      <c r="L61" s="1"/>
      <c r="M61" s="1"/>
      <c r="N61" s="1"/>
    </row>
    <row r="62" spans="1:14" ht="18" customHeight="1">
      <c r="A62" s="1"/>
      <c r="B62" s="30" t="s">
        <v>224</v>
      </c>
      <c r="C62" s="30" t="s">
        <v>167</v>
      </c>
      <c r="D62" s="31">
        <f>D52-D61-D60</f>
        <v>0</v>
      </c>
      <c r="E62" s="31">
        <f>E52-E61-E60</f>
        <v>0</v>
      </c>
      <c r="F62" s="31">
        <f>F52-F61-F60</f>
        <v>0</v>
      </c>
      <c r="G62" s="1" t="s">
        <v>149</v>
      </c>
      <c r="H62" s="20" t="s">
        <v>225</v>
      </c>
      <c r="I62" s="1"/>
      <c r="J62" s="1"/>
      <c r="K62" s="1"/>
      <c r="L62" s="1"/>
      <c r="M62" s="1"/>
      <c r="N62" s="1"/>
    </row>
    <row r="63" spans="1:14" ht="18" customHeight="1">
      <c r="A63" s="1"/>
      <c r="B63" s="1"/>
      <c r="C63" s="1"/>
      <c r="D63" s="32"/>
      <c r="E63" s="32"/>
      <c r="F63" s="32"/>
      <c r="G63" s="1"/>
      <c r="H63" s="20"/>
      <c r="I63" s="1"/>
      <c r="J63" s="1"/>
      <c r="K63" s="1"/>
      <c r="L63" s="1"/>
      <c r="M63" s="1"/>
      <c r="N63" s="1"/>
    </row>
    <row r="64" spans="1:14" ht="18" customHeight="1">
      <c r="A64" s="1"/>
      <c r="B64" s="97" t="s">
        <v>226</v>
      </c>
      <c r="C64" s="97" t="s">
        <v>226</v>
      </c>
      <c r="D64" s="108" t="s">
        <v>226</v>
      </c>
      <c r="E64" s="108" t="s">
        <v>226</v>
      </c>
      <c r="F64" s="108" t="s">
        <v>226</v>
      </c>
      <c r="G64" s="97" t="s">
        <v>226</v>
      </c>
      <c r="H64" s="107" t="s">
        <v>226</v>
      </c>
      <c r="I64" s="1"/>
      <c r="J64" s="1"/>
      <c r="K64" s="1"/>
      <c r="L64" s="1"/>
      <c r="M64" s="1"/>
      <c r="N64" s="1"/>
    </row>
    <row r="65" spans="1:14" ht="18" customHeight="1">
      <c r="A65" s="1"/>
      <c r="B65" s="1" t="s">
        <v>227</v>
      </c>
      <c r="C65" s="1" t="s">
        <v>228</v>
      </c>
      <c r="D65" s="27">
        <v>39536132</v>
      </c>
      <c r="E65" s="27">
        <v>39536132</v>
      </c>
      <c r="F65" s="27">
        <v>39536132</v>
      </c>
      <c r="G65" s="1" t="s">
        <v>229</v>
      </c>
      <c r="H65" s="20" t="s">
        <v>150</v>
      </c>
      <c r="I65" s="1"/>
      <c r="J65" s="1"/>
      <c r="K65" s="1"/>
      <c r="L65" s="1"/>
      <c r="M65" s="1"/>
      <c r="N65" s="1"/>
    </row>
    <row r="66" spans="1:14" ht="18" customHeight="1">
      <c r="A66" s="1"/>
      <c r="B66" s="1" t="s">
        <v>230</v>
      </c>
      <c r="C66" s="1" t="s">
        <v>228</v>
      </c>
      <c r="D66" s="27">
        <v>7344</v>
      </c>
      <c r="E66" s="27">
        <v>7344</v>
      </c>
      <c r="F66" s="27">
        <v>7344</v>
      </c>
      <c r="G66" s="1" t="s">
        <v>229</v>
      </c>
      <c r="H66" s="20" t="s">
        <v>150</v>
      </c>
      <c r="I66" s="1"/>
      <c r="J66" s="1"/>
      <c r="K66" s="1"/>
      <c r="L66" s="1"/>
      <c r="M66" s="1"/>
      <c r="N66" s="1"/>
    </row>
    <row r="67" spans="1:14" ht="18" customHeight="1">
      <c r="A67" s="1"/>
      <c r="B67" s="28" t="s">
        <v>231</v>
      </c>
      <c r="C67" s="28" t="s">
        <v>167</v>
      </c>
      <c r="D67" s="29">
        <f>D65-D66</f>
        <v>39528788</v>
      </c>
      <c r="E67" s="29">
        <f>E65-E66</f>
        <v>39528788</v>
      </c>
      <c r="F67" s="29">
        <f>F65-F66</f>
        <v>39528788</v>
      </c>
      <c r="G67" s="1" t="s">
        <v>229</v>
      </c>
      <c r="H67" s="20" t="s">
        <v>64</v>
      </c>
      <c r="I67" s="1"/>
      <c r="J67" s="1"/>
      <c r="K67" s="1"/>
      <c r="L67" s="1"/>
      <c r="M67" s="1"/>
      <c r="N67" s="1"/>
    </row>
    <row r="68" spans="1:14" ht="18" customHeight="1">
      <c r="A68" s="1"/>
      <c r="B68" s="1" t="s">
        <v>69</v>
      </c>
      <c r="C68" s="1" t="s">
        <v>232</v>
      </c>
      <c r="D68" s="27"/>
      <c r="E68" s="27"/>
      <c r="F68" s="27">
        <v>104330</v>
      </c>
      <c r="G68" s="1" t="s">
        <v>233</v>
      </c>
      <c r="H68" s="20" t="s">
        <v>234</v>
      </c>
      <c r="I68" s="1"/>
      <c r="J68" s="1"/>
      <c r="K68" s="1"/>
      <c r="L68" s="1"/>
      <c r="M68" s="1"/>
      <c r="N68" s="1"/>
    </row>
    <row r="69" spans="1:14" ht="18" customHeight="1">
      <c r="A69" s="1"/>
      <c r="B69" s="1"/>
      <c r="C69" s="1"/>
      <c r="D69" s="32"/>
      <c r="E69" s="32"/>
      <c r="F69" s="32"/>
      <c r="G69" s="1"/>
      <c r="H69" s="20"/>
      <c r="I69" s="1"/>
      <c r="J69" s="1"/>
      <c r="K69" s="1"/>
      <c r="L69" s="1"/>
      <c r="M69" s="1"/>
      <c r="N69" s="1"/>
    </row>
    <row r="70" spans="1:14" ht="18" customHeight="1">
      <c r="A70" s="1"/>
      <c r="B70" s="97" t="s">
        <v>235</v>
      </c>
      <c r="C70" s="97" t="s">
        <v>235</v>
      </c>
      <c r="D70" s="108" t="s">
        <v>235</v>
      </c>
      <c r="E70" s="108" t="s">
        <v>235</v>
      </c>
      <c r="F70" s="108" t="s">
        <v>235</v>
      </c>
      <c r="G70" s="97" t="s">
        <v>235</v>
      </c>
      <c r="H70" s="107" t="s">
        <v>235</v>
      </c>
      <c r="I70" s="1"/>
      <c r="J70" s="1"/>
      <c r="K70" s="1"/>
      <c r="L70" s="1"/>
      <c r="M70" s="1"/>
      <c r="N70" s="1"/>
    </row>
    <row r="71" spans="1:14" ht="18" customHeight="1">
      <c r="A71" s="1"/>
      <c r="B71" s="1" t="s">
        <v>236</v>
      </c>
      <c r="C71" s="1" t="s">
        <v>237</v>
      </c>
      <c r="D71" s="27"/>
      <c r="E71" s="27">
        <v>1060287.274</v>
      </c>
      <c r="F71" s="27">
        <v>1096681.5819999999</v>
      </c>
      <c r="G71" s="1" t="s">
        <v>149</v>
      </c>
      <c r="H71" s="20" t="s">
        <v>238</v>
      </c>
      <c r="I71" s="1"/>
      <c r="J71" s="1"/>
      <c r="K71" s="1"/>
      <c r="L71" s="1"/>
      <c r="M71" s="1"/>
      <c r="N71" s="1"/>
    </row>
    <row r="72" spans="1:14" ht="18" customHeight="1">
      <c r="A72" s="1"/>
      <c r="B72" s="1" t="s">
        <v>239</v>
      </c>
      <c r="C72" s="1" t="s">
        <v>237</v>
      </c>
      <c r="D72" s="27"/>
      <c r="E72" s="27">
        <v>1265157.571</v>
      </c>
      <c r="F72" s="27">
        <v>1316352.0220000001</v>
      </c>
      <c r="G72" s="1" t="s">
        <v>149</v>
      </c>
      <c r="H72" s="20" t="s">
        <v>239</v>
      </c>
      <c r="I72" s="1"/>
      <c r="J72" s="1"/>
      <c r="K72" s="1"/>
      <c r="L72" s="1"/>
      <c r="M72" s="1"/>
      <c r="N72" s="1"/>
    </row>
    <row r="73" spans="1:14" ht="18" customHeight="1">
      <c r="A73" s="1"/>
      <c r="B73" s="1" t="s">
        <v>240</v>
      </c>
      <c r="C73" s="1" t="s">
        <v>237</v>
      </c>
      <c r="D73" s="27"/>
      <c r="E73" s="27">
        <v>778893.73100000003</v>
      </c>
      <c r="F73" s="27">
        <v>919408.93200000003</v>
      </c>
      <c r="G73" s="1" t="s">
        <v>149</v>
      </c>
      <c r="H73" s="20" t="s">
        <v>241</v>
      </c>
      <c r="I73" s="1"/>
      <c r="J73" s="1"/>
      <c r="K73" s="1"/>
      <c r="L73" s="1"/>
      <c r="M73" s="1"/>
      <c r="N73" s="1"/>
    </row>
    <row r="74" spans="1:14" ht="18" customHeight="1">
      <c r="A74" s="1"/>
      <c r="B74" s="28" t="s">
        <v>242</v>
      </c>
      <c r="C74" s="28" t="s">
        <v>167</v>
      </c>
      <c r="D74" s="29">
        <f>SUM(D71:D73)</f>
        <v>0</v>
      </c>
      <c r="E74" s="29">
        <f>SUM(E71:E73)</f>
        <v>3104338.5759999999</v>
      </c>
      <c r="F74" s="29">
        <f>SUM(F71:F73)</f>
        <v>3332442.5360000003</v>
      </c>
      <c r="G74" s="1" t="s">
        <v>149</v>
      </c>
      <c r="H74" s="20" t="s">
        <v>243</v>
      </c>
      <c r="I74" s="1"/>
      <c r="J74" s="1"/>
      <c r="K74" s="1"/>
      <c r="L74" s="1"/>
      <c r="M74" s="1"/>
      <c r="N74" s="1"/>
    </row>
    <row r="75" spans="1:14" ht="18" customHeight="1">
      <c r="A75" s="1"/>
      <c r="B75" s="1"/>
      <c r="C75" s="1"/>
      <c r="D75" s="32"/>
      <c r="E75" s="32"/>
      <c r="F75" s="32"/>
      <c r="G75" s="1"/>
      <c r="H75" s="20"/>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6">
    <mergeCell ref="B70:H70"/>
    <mergeCell ref="B1:H2"/>
    <mergeCell ref="B6:H6"/>
    <mergeCell ref="B26:H26"/>
    <mergeCell ref="B34:H34"/>
    <mergeCell ref="B64:H64"/>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0"/>
  <sheetViews>
    <sheetView showGridLines="0" workbookViewId="0"/>
  </sheetViews>
  <sheetFormatPr defaultRowHeight="14.25"/>
  <cols>
    <col min="1" max="1" width="3" customWidth="1"/>
    <col min="2" max="2" width="37" customWidth="1"/>
    <col min="3" max="10" width="13" customWidth="1"/>
    <col min="11" max="11" width="3" customWidth="1"/>
    <col min="12" max="14" width="20" customWidth="1"/>
  </cols>
  <sheetData>
    <row r="1" spans="1:14" ht="18" customHeight="1">
      <c r="A1" s="1"/>
      <c r="B1" s="90" t="s">
        <v>244</v>
      </c>
      <c r="C1" s="90" t="s">
        <v>244</v>
      </c>
      <c r="D1" s="90" t="s">
        <v>244</v>
      </c>
      <c r="E1" s="90" t="s">
        <v>244</v>
      </c>
      <c r="F1" s="90" t="s">
        <v>244</v>
      </c>
      <c r="G1" s="90" t="s">
        <v>244</v>
      </c>
      <c r="H1" s="90" t="s">
        <v>244</v>
      </c>
      <c r="I1" s="90" t="s">
        <v>244</v>
      </c>
      <c r="J1" s="90" t="s">
        <v>244</v>
      </c>
      <c r="K1" s="1"/>
      <c r="L1" s="1"/>
      <c r="M1" s="1"/>
      <c r="N1" s="1"/>
    </row>
    <row r="2" spans="1:14" ht="18" customHeight="1">
      <c r="A2" s="1"/>
      <c r="B2" s="90" t="s">
        <v>244</v>
      </c>
      <c r="C2" s="90" t="s">
        <v>244</v>
      </c>
      <c r="D2" s="90" t="s">
        <v>244</v>
      </c>
      <c r="E2" s="90" t="s">
        <v>244</v>
      </c>
      <c r="F2" s="90" t="s">
        <v>244</v>
      </c>
      <c r="G2" s="90" t="s">
        <v>244</v>
      </c>
      <c r="H2" s="90" t="s">
        <v>244</v>
      </c>
      <c r="I2" s="90" t="s">
        <v>244</v>
      </c>
      <c r="J2" s="90" t="s">
        <v>244</v>
      </c>
      <c r="K2" s="1"/>
      <c r="L2" s="1"/>
      <c r="M2" s="1"/>
      <c r="N2" s="1"/>
    </row>
    <row r="3" spans="1:14" ht="18" customHeight="1">
      <c r="A3" s="1"/>
      <c r="B3" s="1"/>
      <c r="C3" s="1"/>
      <c r="D3" s="1"/>
      <c r="E3" s="1"/>
      <c r="F3" s="1"/>
      <c r="G3" s="1"/>
      <c r="H3" s="1"/>
      <c r="I3" s="1"/>
      <c r="J3" s="1"/>
      <c r="K3" s="1"/>
      <c r="L3" s="1"/>
      <c r="M3" s="1"/>
      <c r="N3" s="1"/>
    </row>
    <row r="4" spans="1:14" ht="18" customHeight="1">
      <c r="A4" s="1"/>
      <c r="B4" s="34" t="s">
        <v>142</v>
      </c>
      <c r="C4" s="15">
        <v>45291</v>
      </c>
      <c r="D4" s="15">
        <v>45657</v>
      </c>
      <c r="E4" s="15">
        <v>46022</v>
      </c>
      <c r="F4" s="16">
        <v>46387</v>
      </c>
      <c r="G4" s="16">
        <v>46752</v>
      </c>
      <c r="H4" s="16">
        <v>47118</v>
      </c>
      <c r="I4" s="16">
        <v>47483</v>
      </c>
      <c r="J4" s="16">
        <v>47848</v>
      </c>
      <c r="K4" s="1"/>
      <c r="L4" s="1"/>
      <c r="M4" s="1"/>
      <c r="N4" s="1"/>
    </row>
    <row r="5" spans="1:14" ht="18" customHeight="1">
      <c r="A5" s="1"/>
      <c r="B5" s="1"/>
      <c r="C5" s="1"/>
      <c r="D5" s="1"/>
      <c r="E5" s="1"/>
      <c r="F5" s="1"/>
      <c r="G5" s="1"/>
      <c r="H5" s="1"/>
      <c r="I5" s="1"/>
      <c r="J5" s="1"/>
      <c r="K5" s="1"/>
      <c r="L5" s="1"/>
      <c r="M5" s="1"/>
      <c r="N5" s="1"/>
    </row>
    <row r="6" spans="1:14" ht="18" customHeight="1">
      <c r="A6" s="1"/>
      <c r="B6" s="97" t="s">
        <v>245</v>
      </c>
      <c r="C6" s="97" t="s">
        <v>245</v>
      </c>
      <c r="D6" s="97" t="s">
        <v>245</v>
      </c>
      <c r="E6" s="97" t="s">
        <v>245</v>
      </c>
      <c r="F6" s="97" t="s">
        <v>245</v>
      </c>
      <c r="G6" s="97" t="s">
        <v>245</v>
      </c>
      <c r="H6" s="97" t="s">
        <v>245</v>
      </c>
      <c r="I6" s="97" t="s">
        <v>245</v>
      </c>
      <c r="J6" s="97" t="s">
        <v>245</v>
      </c>
      <c r="K6" s="1"/>
      <c r="L6" s="1"/>
      <c r="M6" s="1"/>
      <c r="N6" s="1"/>
    </row>
    <row r="7" spans="1:14" ht="18" customHeight="1">
      <c r="A7" s="1"/>
      <c r="B7" s="1" t="s">
        <v>246</v>
      </c>
      <c r="C7" s="21"/>
      <c r="D7" s="9">
        <f>과거재무제표!E71</f>
        <v>1060287.274</v>
      </c>
      <c r="E7" s="9">
        <f>과거재무제표!F71</f>
        <v>1096681.5819999999</v>
      </c>
      <c r="F7" s="21">
        <f>E7*(1+가정!F7)</f>
        <v>1140548.84528</v>
      </c>
      <c r="G7" s="21">
        <f>F7*(1+가정!G7)</f>
        <v>1180468.0548647998</v>
      </c>
      <c r="H7" s="21">
        <f>G7*(1+가정!H7)</f>
        <v>1215882.096510744</v>
      </c>
      <c r="I7" s="21">
        <f>H7*(1+가정!I7)</f>
        <v>1252358.5594060663</v>
      </c>
      <c r="J7" s="21">
        <f>I7*(1+가정!J7)</f>
        <v>1283667.5233912179</v>
      </c>
      <c r="K7" s="1"/>
      <c r="L7" s="1"/>
      <c r="M7" s="1"/>
      <c r="N7" s="1"/>
    </row>
    <row r="8" spans="1:14" ht="18" customHeight="1">
      <c r="A8" s="1"/>
      <c r="B8" s="1" t="s">
        <v>247</v>
      </c>
      <c r="C8" s="18"/>
      <c r="D8" s="10"/>
      <c r="E8" s="10">
        <f>E7/D7-1</f>
        <v>3.4324950315304692E-2</v>
      </c>
      <c r="F8" s="10">
        <f>가정!F7</f>
        <v>0.04</v>
      </c>
      <c r="G8" s="10">
        <f>가정!G7</f>
        <v>3.5000000000000003E-2</v>
      </c>
      <c r="H8" s="10">
        <f>가정!H7</f>
        <v>0.03</v>
      </c>
      <c r="I8" s="10">
        <f>가정!I7</f>
        <v>0.03</v>
      </c>
      <c r="J8" s="10">
        <f>가정!J7</f>
        <v>2.5000000000000001E-2</v>
      </c>
      <c r="K8" s="1"/>
      <c r="L8" s="1"/>
      <c r="M8" s="1"/>
      <c r="N8" s="1"/>
    </row>
    <row r="9" spans="1:14" ht="18" customHeight="1">
      <c r="A9" s="1"/>
      <c r="B9" s="1" t="s">
        <v>248</v>
      </c>
      <c r="C9" s="21"/>
      <c r="D9" s="9">
        <f>과거재무제표!E72</f>
        <v>1265157.571</v>
      </c>
      <c r="E9" s="9">
        <f>과거재무제표!F72</f>
        <v>1316352.0220000001</v>
      </c>
      <c r="F9" s="9">
        <f>E9*(1+가정!F8)</f>
        <v>1375587.8629900001</v>
      </c>
      <c r="G9" s="9">
        <f>F9*(1+가정!G8)</f>
        <v>1430611.3775096</v>
      </c>
      <c r="H9" s="9">
        <f>G9*(1+가정!H8)</f>
        <v>1480682.7757224359</v>
      </c>
      <c r="I9" s="9">
        <f>H9*(1+가정!I8)</f>
        <v>1532506.672872721</v>
      </c>
      <c r="J9" s="9">
        <f>I9*(1+가정!J8)</f>
        <v>1578481.8730589026</v>
      </c>
      <c r="K9" s="1"/>
      <c r="L9" s="1"/>
      <c r="M9" s="1"/>
      <c r="N9" s="1"/>
    </row>
    <row r="10" spans="1:14" ht="18" customHeight="1">
      <c r="A10" s="1"/>
      <c r="B10" s="1" t="s">
        <v>247</v>
      </c>
      <c r="C10" s="18"/>
      <c r="D10" s="10"/>
      <c r="E10" s="10">
        <f>E9/D9-1</f>
        <v>4.0464881350340542E-2</v>
      </c>
      <c r="F10" s="10">
        <f>가정!F8</f>
        <v>4.4999999999999998E-2</v>
      </c>
      <c r="G10" s="10">
        <f>가정!G8</f>
        <v>0.04</v>
      </c>
      <c r="H10" s="10">
        <f>가정!H8</f>
        <v>3.5000000000000003E-2</v>
      </c>
      <c r="I10" s="10">
        <f>가정!I8</f>
        <v>3.5000000000000003E-2</v>
      </c>
      <c r="J10" s="10">
        <f>가정!J8</f>
        <v>0.03</v>
      </c>
      <c r="K10" s="1"/>
      <c r="L10" s="1"/>
      <c r="M10" s="1"/>
      <c r="N10" s="1"/>
    </row>
    <row r="11" spans="1:14" ht="18" customHeight="1">
      <c r="A11" s="1"/>
      <c r="B11" s="1" t="s">
        <v>249</v>
      </c>
      <c r="C11" s="21"/>
      <c r="D11" s="9">
        <f>과거재무제표!E73</f>
        <v>778893.73100000003</v>
      </c>
      <c r="E11" s="9">
        <f>과거재무제표!F73</f>
        <v>919408.93200000003</v>
      </c>
      <c r="F11" s="9">
        <f>E11*(1+가정!F9)</f>
        <v>1020543.9145200001</v>
      </c>
      <c r="G11" s="9">
        <f>F11*(1+가정!G9)</f>
        <v>1112392.8668268002</v>
      </c>
      <c r="H11" s="9">
        <f>G11*(1+가정!H9)</f>
        <v>1201384.2961729444</v>
      </c>
      <c r="I11" s="9">
        <f>H11*(1+가정!I9)</f>
        <v>1285481.1969050507</v>
      </c>
      <c r="J11" s="9">
        <f>I11*(1+가정!J9)</f>
        <v>1362610.0687193538</v>
      </c>
      <c r="K11" s="1"/>
      <c r="L11" s="1"/>
      <c r="M11" s="1"/>
      <c r="N11" s="1"/>
    </row>
    <row r="12" spans="1:14" ht="18" customHeight="1">
      <c r="A12" s="1"/>
      <c r="B12" s="1" t="s">
        <v>247</v>
      </c>
      <c r="C12" s="18"/>
      <c r="D12" s="10"/>
      <c r="E12" s="10">
        <f>E11/D11-1</f>
        <v>0.18040355880075754</v>
      </c>
      <c r="F12" s="10">
        <f>가정!F9</f>
        <v>0.11</v>
      </c>
      <c r="G12" s="10">
        <f>가정!G9</f>
        <v>0.09</v>
      </c>
      <c r="H12" s="10">
        <f>가정!H9</f>
        <v>0.08</v>
      </c>
      <c r="I12" s="10">
        <f>가정!I9</f>
        <v>7.0000000000000007E-2</v>
      </c>
      <c r="J12" s="10">
        <f>가정!J9</f>
        <v>0.06</v>
      </c>
      <c r="K12" s="1"/>
      <c r="L12" s="1"/>
      <c r="M12" s="1"/>
      <c r="N12" s="1"/>
    </row>
    <row r="13" spans="1:14" ht="18" customHeight="1">
      <c r="A13" s="1"/>
      <c r="B13" s="28" t="s">
        <v>250</v>
      </c>
      <c r="C13" s="35">
        <f>과거재무제표!D7</f>
        <v>2912358.0514750001</v>
      </c>
      <c r="D13" s="35">
        <f>과거재무제표!E7</f>
        <v>3104338.5761290002</v>
      </c>
      <c r="E13" s="35">
        <f>과거재무제표!F7</f>
        <v>3332442.5363730001</v>
      </c>
      <c r="F13" s="35">
        <f>SUM(F7,F9,F11)</f>
        <v>3536680.6227900004</v>
      </c>
      <c r="G13" s="35">
        <f>SUM(G7,G9,G11)</f>
        <v>3723472.2992012003</v>
      </c>
      <c r="H13" s="35">
        <f>SUM(H7,H9,H11)</f>
        <v>3897949.1684061242</v>
      </c>
      <c r="I13" s="35">
        <f>SUM(I7,I9,I11)</f>
        <v>4070346.429183838</v>
      </c>
      <c r="J13" s="35">
        <f>SUM(J7,J9,J11)</f>
        <v>4224759.4651694745</v>
      </c>
      <c r="K13" s="1"/>
      <c r="L13" s="1"/>
      <c r="M13" s="1"/>
      <c r="N13" s="1"/>
    </row>
    <row r="14" spans="1:14" ht="18" customHeight="1">
      <c r="A14" s="1"/>
      <c r="B14" s="1" t="s">
        <v>247</v>
      </c>
      <c r="C14" s="18"/>
      <c r="D14" s="18">
        <f t="shared" ref="D14:J14" si="0">D13/C13-1</f>
        <v>6.5919272720182498E-2</v>
      </c>
      <c r="E14" s="18">
        <f t="shared" si="0"/>
        <v>7.3479085689305723E-2</v>
      </c>
      <c r="F14" s="18">
        <f t="shared" si="0"/>
        <v>6.1287804422065495E-2</v>
      </c>
      <c r="G14" s="18">
        <f t="shared" si="0"/>
        <v>5.2815534206717363E-2</v>
      </c>
      <c r="H14" s="18">
        <f t="shared" si="0"/>
        <v>4.6858645690033729E-2</v>
      </c>
      <c r="I14" s="18">
        <f t="shared" si="0"/>
        <v>4.4227683155808606E-2</v>
      </c>
      <c r="J14" s="18">
        <f t="shared" si="0"/>
        <v>3.7936091846756836E-2</v>
      </c>
      <c r="K14" s="1"/>
      <c r="L14" s="1"/>
      <c r="M14" s="1"/>
      <c r="N14" s="1"/>
    </row>
    <row r="15" spans="1:14" ht="18" customHeight="1">
      <c r="A15" s="1"/>
      <c r="B15" s="1" t="s">
        <v>251</v>
      </c>
      <c r="C15" s="21">
        <f>C13-과거재무제표!D7</f>
        <v>0</v>
      </c>
      <c r="D15" s="21">
        <f>D13-과거재무제표!E7</f>
        <v>0</v>
      </c>
      <c r="E15" s="21">
        <f>E13-과거재무제표!F7</f>
        <v>0</v>
      </c>
      <c r="F15" s="1"/>
      <c r="G15" s="1"/>
      <c r="H15" s="1"/>
      <c r="I15" s="1"/>
      <c r="J15" s="1"/>
      <c r="K15" s="1"/>
      <c r="L15" s="1"/>
      <c r="M15" s="1"/>
      <c r="N15" s="1"/>
    </row>
    <row r="16" spans="1:14" ht="18" customHeight="1">
      <c r="A16" s="1"/>
      <c r="B16" s="1"/>
      <c r="C16" s="1"/>
      <c r="D16" s="1"/>
      <c r="E16" s="1"/>
      <c r="F16" s="1"/>
      <c r="G16" s="1"/>
      <c r="H16" s="1"/>
      <c r="I16" s="1"/>
      <c r="J16" s="1"/>
      <c r="K16" s="1"/>
      <c r="L16" s="1"/>
      <c r="M16" s="1"/>
      <c r="N16" s="1"/>
    </row>
    <row r="17" spans="1:14" ht="33.950000000000003" customHeight="1">
      <c r="A17" s="1"/>
      <c r="B17" s="92" t="s">
        <v>252</v>
      </c>
      <c r="C17" s="92" t="s">
        <v>252</v>
      </c>
      <c r="D17" s="92" t="s">
        <v>252</v>
      </c>
      <c r="E17" s="92" t="s">
        <v>252</v>
      </c>
      <c r="F17" s="92" t="s">
        <v>252</v>
      </c>
      <c r="G17" s="92" t="s">
        <v>252</v>
      </c>
      <c r="H17" s="92" t="s">
        <v>252</v>
      </c>
      <c r="I17" s="92" t="s">
        <v>252</v>
      </c>
      <c r="J17" s="92" t="s">
        <v>252</v>
      </c>
      <c r="K17" s="1"/>
      <c r="L17" s="1"/>
      <c r="M17" s="1"/>
      <c r="N17" s="1"/>
    </row>
    <row r="18" spans="1:14" ht="33.950000000000003" customHeight="1">
      <c r="A18" s="1"/>
      <c r="B18" s="92" t="s">
        <v>252</v>
      </c>
      <c r="C18" s="92" t="s">
        <v>252</v>
      </c>
      <c r="D18" s="92" t="s">
        <v>252</v>
      </c>
      <c r="E18" s="92" t="s">
        <v>252</v>
      </c>
      <c r="F18" s="92" t="s">
        <v>252</v>
      </c>
      <c r="G18" s="92" t="s">
        <v>252</v>
      </c>
      <c r="H18" s="92" t="s">
        <v>252</v>
      </c>
      <c r="I18" s="92" t="s">
        <v>252</v>
      </c>
      <c r="J18" s="92" t="s">
        <v>252</v>
      </c>
      <c r="K18" s="1"/>
      <c r="L18" s="1"/>
      <c r="M18" s="1"/>
      <c r="N18" s="1"/>
    </row>
    <row r="19" spans="1:14" ht="33.950000000000003" customHeight="1">
      <c r="A19" s="1"/>
      <c r="B19" s="92" t="s">
        <v>252</v>
      </c>
      <c r="C19" s="92" t="s">
        <v>252</v>
      </c>
      <c r="D19" s="92" t="s">
        <v>252</v>
      </c>
      <c r="E19" s="92" t="s">
        <v>252</v>
      </c>
      <c r="F19" s="92" t="s">
        <v>252</v>
      </c>
      <c r="G19" s="92" t="s">
        <v>252</v>
      </c>
      <c r="H19" s="92" t="s">
        <v>252</v>
      </c>
      <c r="I19" s="92" t="s">
        <v>252</v>
      </c>
      <c r="J19" s="92" t="s">
        <v>252</v>
      </c>
      <c r="K19" s="1"/>
      <c r="L19" s="1"/>
      <c r="M19" s="1"/>
      <c r="N19" s="1"/>
    </row>
    <row r="20" spans="1:14" ht="33.950000000000003" customHeight="1">
      <c r="A20" s="1"/>
      <c r="B20" s="92" t="s">
        <v>252</v>
      </c>
      <c r="C20" s="92" t="s">
        <v>252</v>
      </c>
      <c r="D20" s="92" t="s">
        <v>252</v>
      </c>
      <c r="E20" s="92" t="s">
        <v>252</v>
      </c>
      <c r="F20" s="92" t="s">
        <v>252</v>
      </c>
      <c r="G20" s="92" t="s">
        <v>252</v>
      </c>
      <c r="H20" s="92" t="s">
        <v>252</v>
      </c>
      <c r="I20" s="92" t="s">
        <v>252</v>
      </c>
      <c r="J20" s="92" t="s">
        <v>252</v>
      </c>
      <c r="K20" s="1"/>
      <c r="L20" s="1"/>
      <c r="M20" s="1"/>
      <c r="N20" s="1"/>
    </row>
    <row r="21" spans="1:14" ht="18" customHeight="1">
      <c r="A21" s="1"/>
      <c r="B21" s="1"/>
      <c r="C21" s="1"/>
      <c r="D21" s="1"/>
      <c r="E21" s="1"/>
      <c r="F21" s="1"/>
      <c r="G21" s="1"/>
      <c r="H21" s="1"/>
      <c r="I21" s="1"/>
      <c r="J21" s="1"/>
      <c r="K21" s="1"/>
      <c r="L21" s="1"/>
      <c r="M21" s="1"/>
      <c r="N21" s="1"/>
    </row>
    <row r="22" spans="1:14" ht="18" customHeight="1">
      <c r="A22" s="1"/>
      <c r="B22" s="1"/>
      <c r="C22" s="1"/>
      <c r="D22" s="1"/>
      <c r="E22" s="1"/>
      <c r="F22" s="1"/>
      <c r="G22" s="1"/>
      <c r="H22" s="1"/>
      <c r="I22" s="1"/>
      <c r="J22" s="1"/>
      <c r="K22" s="1"/>
      <c r="L22" s="1"/>
      <c r="M22" s="1"/>
      <c r="N22" s="1"/>
    </row>
    <row r="23" spans="1:14" ht="18" customHeight="1">
      <c r="A23" s="1"/>
      <c r="B23" s="1"/>
      <c r="C23" s="1"/>
      <c r="D23" s="1"/>
      <c r="E23" s="1"/>
      <c r="F23" s="1"/>
      <c r="G23" s="1"/>
      <c r="H23" s="1"/>
      <c r="I23" s="1"/>
      <c r="J23" s="1"/>
      <c r="K23" s="1"/>
      <c r="L23" s="1"/>
      <c r="M23" s="1"/>
      <c r="N23" s="1"/>
    </row>
    <row r="24" spans="1:14" ht="18" customHeight="1">
      <c r="A24" s="1"/>
      <c r="B24" s="1"/>
      <c r="C24" s="1"/>
      <c r="D24" s="1"/>
      <c r="E24" s="1"/>
      <c r="F24" s="1"/>
      <c r="G24" s="1"/>
      <c r="H24" s="1"/>
      <c r="I24" s="1"/>
      <c r="J24" s="1"/>
      <c r="K24" s="1"/>
      <c r="L24" s="1"/>
      <c r="M24" s="1"/>
      <c r="N24" s="1"/>
    </row>
    <row r="25" spans="1:14" ht="18" customHeight="1">
      <c r="A25" s="1"/>
      <c r="B25" s="1"/>
      <c r="C25" s="1"/>
      <c r="D25" s="1"/>
      <c r="E25" s="1"/>
      <c r="F25" s="1"/>
      <c r="G25" s="1"/>
      <c r="H25" s="1"/>
      <c r="I25" s="1"/>
      <c r="J25" s="1"/>
      <c r="K25" s="1"/>
      <c r="L25" s="1"/>
      <c r="M25" s="1"/>
      <c r="N25" s="1"/>
    </row>
    <row r="26" spans="1:14" ht="18" customHeight="1">
      <c r="A26" s="1"/>
      <c r="B26" s="1"/>
      <c r="C26" s="1"/>
      <c r="D26" s="1"/>
      <c r="E26" s="1"/>
      <c r="F26" s="1"/>
      <c r="G26" s="1"/>
      <c r="H26" s="1"/>
      <c r="I26" s="1"/>
      <c r="J26" s="1"/>
      <c r="K26" s="1"/>
      <c r="L26" s="1"/>
      <c r="M26" s="1"/>
      <c r="N26" s="1"/>
    </row>
    <row r="27" spans="1:14" ht="18" customHeight="1">
      <c r="A27" s="1"/>
      <c r="B27" s="1"/>
      <c r="C27" s="1"/>
      <c r="D27" s="1"/>
      <c r="E27" s="1"/>
      <c r="F27" s="1"/>
      <c r="G27" s="1"/>
      <c r="H27" s="1"/>
      <c r="I27" s="1"/>
      <c r="J27" s="1"/>
      <c r="K27" s="1"/>
      <c r="L27" s="1"/>
      <c r="M27" s="1"/>
      <c r="N27" s="1"/>
    </row>
    <row r="28" spans="1:14" ht="18" customHeight="1">
      <c r="A28" s="1"/>
      <c r="B28" s="1"/>
      <c r="C28" s="1"/>
      <c r="D28" s="1"/>
      <c r="E28" s="1"/>
      <c r="F28" s="1"/>
      <c r="G28" s="1"/>
      <c r="H28" s="1"/>
      <c r="I28" s="1"/>
      <c r="J28" s="1"/>
      <c r="K28" s="1"/>
      <c r="L28" s="1"/>
      <c r="M28" s="1"/>
      <c r="N28" s="1"/>
    </row>
    <row r="29" spans="1:14" ht="18" customHeight="1">
      <c r="A29" s="1"/>
      <c r="B29" s="1"/>
      <c r="C29" s="1"/>
      <c r="D29" s="1"/>
      <c r="E29" s="1"/>
      <c r="F29" s="1"/>
      <c r="G29" s="1"/>
      <c r="H29" s="1"/>
      <c r="I29" s="1"/>
      <c r="J29" s="1"/>
      <c r="K29" s="1"/>
      <c r="L29" s="1"/>
      <c r="M29" s="1"/>
      <c r="N29" s="1"/>
    </row>
    <row r="30" spans="1:14" ht="18" customHeight="1">
      <c r="A30" s="1"/>
      <c r="B30" s="1"/>
      <c r="C30" s="1"/>
      <c r="D30" s="1"/>
      <c r="E30" s="1"/>
      <c r="F30" s="1"/>
      <c r="G30" s="1"/>
      <c r="H30" s="1"/>
      <c r="I30" s="1"/>
      <c r="J30" s="1"/>
      <c r="K30" s="1"/>
      <c r="L30" s="1"/>
      <c r="M30" s="1"/>
      <c r="N30" s="1"/>
    </row>
    <row r="31" spans="1:14" ht="18" customHeight="1">
      <c r="A31" s="1"/>
      <c r="B31" s="1"/>
      <c r="C31" s="1"/>
      <c r="D31" s="1"/>
      <c r="E31" s="1"/>
      <c r="F31" s="1"/>
      <c r="G31" s="1"/>
      <c r="H31" s="1"/>
      <c r="I31" s="1"/>
      <c r="J31" s="1"/>
      <c r="K31" s="1"/>
      <c r="L31" s="1"/>
      <c r="M31" s="1"/>
      <c r="N31" s="1"/>
    </row>
    <row r="32" spans="1:14" ht="18" customHeight="1">
      <c r="A32" s="1"/>
      <c r="B32" s="1"/>
      <c r="C32" s="1"/>
      <c r="D32" s="1"/>
      <c r="E32" s="1"/>
      <c r="F32" s="1"/>
      <c r="G32" s="1"/>
      <c r="H32" s="1"/>
      <c r="I32" s="1"/>
      <c r="J32" s="1"/>
      <c r="K32" s="1"/>
      <c r="L32" s="1"/>
      <c r="M32" s="1"/>
      <c r="N32" s="1"/>
    </row>
    <row r="33" spans="1:14" ht="18" customHeight="1">
      <c r="A33" s="1"/>
      <c r="B33" s="1"/>
      <c r="C33" s="1"/>
      <c r="D33" s="1"/>
      <c r="E33" s="1"/>
      <c r="F33" s="1"/>
      <c r="G33" s="1"/>
      <c r="H33" s="1"/>
      <c r="I33" s="1"/>
      <c r="J33" s="1"/>
      <c r="K33" s="1"/>
      <c r="L33" s="1"/>
      <c r="M33" s="1"/>
      <c r="N33" s="1"/>
    </row>
    <row r="34" spans="1:14" ht="18" customHeight="1">
      <c r="A34" s="1"/>
      <c r="B34" s="1"/>
      <c r="C34" s="1"/>
      <c r="D34" s="1"/>
      <c r="E34" s="1"/>
      <c r="F34" s="1"/>
      <c r="G34" s="1"/>
      <c r="H34" s="1"/>
      <c r="I34" s="1"/>
      <c r="J34" s="1"/>
      <c r="K34" s="1"/>
      <c r="L34" s="1"/>
      <c r="M34" s="1"/>
      <c r="N34" s="1"/>
    </row>
    <row r="35" spans="1:14" ht="18" customHeight="1">
      <c r="A35" s="1"/>
      <c r="B35" s="1"/>
      <c r="C35" s="1"/>
      <c r="D35" s="1"/>
      <c r="E35" s="1"/>
      <c r="F35" s="1"/>
      <c r="G35" s="1"/>
      <c r="H35" s="1"/>
      <c r="I35" s="1"/>
      <c r="J35" s="1"/>
      <c r="K35" s="1"/>
      <c r="L35" s="1"/>
      <c r="M35" s="1"/>
      <c r="N35" s="1"/>
    </row>
    <row r="36" spans="1:14" ht="18" customHeight="1">
      <c r="A36" s="1"/>
      <c r="B36" s="1"/>
      <c r="C36" s="1"/>
      <c r="D36" s="1"/>
      <c r="E36" s="1"/>
      <c r="F36" s="1"/>
      <c r="G36" s="1"/>
      <c r="H36" s="1"/>
      <c r="I36" s="1"/>
      <c r="J36" s="1"/>
      <c r="K36" s="1"/>
      <c r="L36" s="1"/>
      <c r="M36" s="1"/>
      <c r="N36" s="1"/>
    </row>
    <row r="37" spans="1:14" ht="18" customHeight="1">
      <c r="A37" s="1"/>
      <c r="B37" s="1"/>
      <c r="C37" s="1"/>
      <c r="D37" s="1"/>
      <c r="E37" s="1"/>
      <c r="F37" s="1"/>
      <c r="G37" s="1"/>
      <c r="H37" s="1"/>
      <c r="I37" s="1"/>
      <c r="J37" s="1"/>
      <c r="K37" s="1"/>
      <c r="L37" s="1"/>
      <c r="M37" s="1"/>
      <c r="N37" s="1"/>
    </row>
    <row r="38" spans="1:14" ht="18" customHeight="1">
      <c r="A38" s="1"/>
      <c r="B38" s="1"/>
      <c r="C38" s="1"/>
      <c r="D38" s="1"/>
      <c r="E38" s="1"/>
      <c r="F38" s="1"/>
      <c r="G38" s="1"/>
      <c r="H38" s="1"/>
      <c r="I38" s="1"/>
      <c r="J38" s="1"/>
      <c r="K38" s="1"/>
      <c r="L38" s="1"/>
      <c r="M38" s="1"/>
      <c r="N38" s="1"/>
    </row>
    <row r="39" spans="1:14" ht="18" customHeight="1">
      <c r="A39" s="1"/>
      <c r="B39" s="1"/>
      <c r="C39" s="1"/>
      <c r="D39" s="1"/>
      <c r="E39" s="1"/>
      <c r="F39" s="1"/>
      <c r="G39" s="1"/>
      <c r="H39" s="1"/>
      <c r="I39" s="1"/>
      <c r="J39" s="1"/>
      <c r="K39" s="1"/>
      <c r="L39" s="1"/>
      <c r="M39" s="1"/>
      <c r="N39" s="1"/>
    </row>
    <row r="40" spans="1:14" ht="18" customHeight="1">
      <c r="A40" s="1"/>
      <c r="B40" s="1"/>
      <c r="C40" s="1"/>
      <c r="D40" s="1"/>
      <c r="E40" s="1"/>
      <c r="F40" s="1"/>
      <c r="G40" s="1"/>
      <c r="H40" s="1"/>
      <c r="I40" s="1"/>
      <c r="J40" s="1"/>
      <c r="K40" s="1"/>
      <c r="L40" s="1"/>
      <c r="M40" s="1"/>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3">
    <mergeCell ref="B1:J2"/>
    <mergeCell ref="B6:J6"/>
    <mergeCell ref="B17:J20"/>
  </mergeCells>
  <phoneticPr fontId="1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20"/>
  <sheetViews>
    <sheetView showGridLines="0" workbookViewId="0"/>
  </sheetViews>
  <sheetFormatPr defaultRowHeight="14.25"/>
  <cols>
    <col min="1" max="1" width="3" customWidth="1"/>
    <col min="2" max="2" width="39" customWidth="1"/>
    <col min="3" max="10" width="13" customWidth="1"/>
    <col min="11" max="11" width="3" customWidth="1"/>
    <col min="12" max="14" width="20" customWidth="1"/>
  </cols>
  <sheetData>
    <row r="1" spans="1:14" ht="18" customHeight="1">
      <c r="A1" s="1"/>
      <c r="B1" s="90" t="s">
        <v>253</v>
      </c>
      <c r="C1" s="90" t="s">
        <v>253</v>
      </c>
      <c r="D1" s="90" t="s">
        <v>253</v>
      </c>
      <c r="E1" s="90" t="s">
        <v>253</v>
      </c>
      <c r="F1" s="90" t="s">
        <v>253</v>
      </c>
      <c r="G1" s="90" t="s">
        <v>253</v>
      </c>
      <c r="H1" s="90" t="s">
        <v>253</v>
      </c>
      <c r="I1" s="90" t="s">
        <v>253</v>
      </c>
      <c r="J1" s="90" t="s">
        <v>253</v>
      </c>
      <c r="K1" s="1"/>
      <c r="L1" s="1"/>
      <c r="M1" s="1"/>
      <c r="N1" s="1"/>
    </row>
    <row r="2" spans="1:14" ht="18" customHeight="1">
      <c r="A2" s="1"/>
      <c r="B2" s="90" t="s">
        <v>253</v>
      </c>
      <c r="C2" s="90" t="s">
        <v>253</v>
      </c>
      <c r="D2" s="90" t="s">
        <v>253</v>
      </c>
      <c r="E2" s="90" t="s">
        <v>253</v>
      </c>
      <c r="F2" s="90" t="s">
        <v>253</v>
      </c>
      <c r="G2" s="90" t="s">
        <v>253</v>
      </c>
      <c r="H2" s="90" t="s">
        <v>253</v>
      </c>
      <c r="I2" s="90" t="s">
        <v>253</v>
      </c>
      <c r="J2" s="90" t="s">
        <v>253</v>
      </c>
      <c r="K2" s="1"/>
      <c r="L2" s="1"/>
      <c r="M2" s="1"/>
      <c r="N2" s="1"/>
    </row>
    <row r="3" spans="1:14" ht="18" customHeight="1">
      <c r="A3" s="1"/>
      <c r="B3" s="1"/>
      <c r="C3" s="1"/>
      <c r="D3" s="1"/>
      <c r="E3" s="1"/>
      <c r="F3" s="1"/>
      <c r="G3" s="1"/>
      <c r="H3" s="1"/>
      <c r="I3" s="1"/>
      <c r="J3" s="1"/>
      <c r="K3" s="1"/>
      <c r="L3" s="1"/>
      <c r="M3" s="1"/>
      <c r="N3" s="1"/>
    </row>
    <row r="4" spans="1:14" ht="18" customHeight="1">
      <c r="A4" s="1"/>
      <c r="B4" s="34" t="s">
        <v>142</v>
      </c>
      <c r="C4" s="15">
        <v>45291</v>
      </c>
      <c r="D4" s="15">
        <v>45657</v>
      </c>
      <c r="E4" s="15">
        <v>46022</v>
      </c>
      <c r="F4" s="16">
        <v>46387</v>
      </c>
      <c r="G4" s="16">
        <v>46752</v>
      </c>
      <c r="H4" s="16">
        <v>47118</v>
      </c>
      <c r="I4" s="16">
        <v>47483</v>
      </c>
      <c r="J4" s="16">
        <v>47848</v>
      </c>
      <c r="K4" s="1"/>
      <c r="L4" s="1"/>
      <c r="M4" s="1"/>
      <c r="N4" s="1"/>
    </row>
    <row r="5" spans="1:14" ht="18" customHeight="1">
      <c r="A5" s="1"/>
      <c r="B5" s="1"/>
      <c r="C5" s="1"/>
      <c r="D5" s="1"/>
      <c r="E5" s="1"/>
      <c r="F5" s="1"/>
      <c r="G5" s="1"/>
      <c r="H5" s="1"/>
      <c r="I5" s="1"/>
      <c r="J5" s="1"/>
      <c r="K5" s="1"/>
      <c r="L5" s="1"/>
      <c r="M5" s="1"/>
      <c r="N5" s="1"/>
    </row>
    <row r="6" spans="1:14" ht="18" customHeight="1">
      <c r="A6" s="1"/>
      <c r="B6" s="97" t="s">
        <v>254</v>
      </c>
      <c r="C6" s="97" t="s">
        <v>254</v>
      </c>
      <c r="D6" s="97" t="s">
        <v>254</v>
      </c>
      <c r="E6" s="97" t="s">
        <v>254</v>
      </c>
      <c r="F6" s="97" t="s">
        <v>254</v>
      </c>
      <c r="G6" s="97" t="s">
        <v>254</v>
      </c>
      <c r="H6" s="97" t="s">
        <v>254</v>
      </c>
      <c r="I6" s="97" t="s">
        <v>254</v>
      </c>
      <c r="J6" s="97" t="s">
        <v>254</v>
      </c>
      <c r="K6" s="1"/>
      <c r="L6" s="1"/>
      <c r="M6" s="1"/>
      <c r="N6" s="1"/>
    </row>
    <row r="7" spans="1:14" ht="18" customHeight="1">
      <c r="A7" s="1"/>
      <c r="B7" s="1" t="s">
        <v>147</v>
      </c>
      <c r="C7" s="9">
        <f>과거재무제표!D7</f>
        <v>2912358.0514750001</v>
      </c>
      <c r="D7" s="9">
        <f>과거재무제표!E7</f>
        <v>3104338.5761290002</v>
      </c>
      <c r="E7" s="9">
        <f>과거재무제표!F7</f>
        <v>3332442.5363730001</v>
      </c>
      <c r="F7" s="9">
        <f>매출액추정!F13</f>
        <v>3536680.6227900004</v>
      </c>
      <c r="G7" s="9">
        <f>매출액추정!G13</f>
        <v>3723472.2992012003</v>
      </c>
      <c r="H7" s="9">
        <f>매출액추정!H13</f>
        <v>3897949.1684061242</v>
      </c>
      <c r="I7" s="9">
        <f>매출액추정!I13</f>
        <v>4070346.429183838</v>
      </c>
      <c r="J7" s="9">
        <f>매출액추정!J13</f>
        <v>4224759.4651694745</v>
      </c>
      <c r="K7" s="1"/>
      <c r="L7" s="1"/>
      <c r="M7" s="1"/>
      <c r="N7" s="1"/>
    </row>
    <row r="8" spans="1:14" ht="18" customHeight="1">
      <c r="A8" s="1"/>
      <c r="B8" s="1" t="s">
        <v>247</v>
      </c>
      <c r="C8" s="10"/>
      <c r="D8" s="10">
        <f t="shared" ref="D8:J8" si="0">D7/C7-1</f>
        <v>6.5919272720182498E-2</v>
      </c>
      <c r="E8" s="10">
        <f t="shared" si="0"/>
        <v>7.3479085689305723E-2</v>
      </c>
      <c r="F8" s="18">
        <f t="shared" si="0"/>
        <v>6.1287804422065495E-2</v>
      </c>
      <c r="G8" s="18">
        <f t="shared" si="0"/>
        <v>5.2815534206717363E-2</v>
      </c>
      <c r="H8" s="18">
        <f t="shared" si="0"/>
        <v>4.6858645690033729E-2</v>
      </c>
      <c r="I8" s="18">
        <f t="shared" si="0"/>
        <v>4.4227683155808606E-2</v>
      </c>
      <c r="J8" s="18">
        <f t="shared" si="0"/>
        <v>3.7936091846756836E-2</v>
      </c>
      <c r="K8" s="1"/>
      <c r="L8" s="1"/>
      <c r="M8" s="1"/>
      <c r="N8" s="1"/>
    </row>
    <row r="9" spans="1:14" ht="18" customHeight="1">
      <c r="A9" s="1"/>
      <c r="B9" s="1" t="s">
        <v>151</v>
      </c>
      <c r="C9" s="9">
        <f>과거재무제표!D8</f>
        <v>-1784947.0551130001</v>
      </c>
      <c r="D9" s="9">
        <f>과거재무제표!E8</f>
        <v>-1908164.043915</v>
      </c>
      <c r="E9" s="9">
        <f>과거재무제표!F8</f>
        <v>-2109116.4369040001</v>
      </c>
      <c r="F9" s="21">
        <f>-F7*가정!F13</f>
        <v>-2228108.7923577004</v>
      </c>
      <c r="G9" s="21">
        <f>-G7*가정!G13</f>
        <v>-2338340.6038983539</v>
      </c>
      <c r="H9" s="21">
        <f>-H7*가정!H13</f>
        <v>-2440116.1794222337</v>
      </c>
      <c r="I9" s="21">
        <f>-I7*가정!I13</f>
        <v>-2543966.5182398986</v>
      </c>
      <c r="J9" s="21">
        <f>-J7*가정!J13</f>
        <v>-2636249.9062657519</v>
      </c>
      <c r="K9" s="1"/>
      <c r="L9" s="1"/>
      <c r="M9" s="1"/>
      <c r="N9" s="1"/>
    </row>
    <row r="10" spans="1:14" ht="18" customHeight="1">
      <c r="A10" s="1"/>
      <c r="B10" s="1" t="s">
        <v>96</v>
      </c>
      <c r="C10" s="10">
        <f t="shared" ref="C10:J10" si="1">-C9/C7</f>
        <v>0.61288722868707413</v>
      </c>
      <c r="D10" s="10">
        <f t="shared" si="1"/>
        <v>0.61467652355575619</v>
      </c>
      <c r="E10" s="10">
        <f t="shared" si="1"/>
        <v>0.6329040677771276</v>
      </c>
      <c r="F10" s="18">
        <f t="shared" si="1"/>
        <v>0.63</v>
      </c>
      <c r="G10" s="18">
        <f t="shared" si="1"/>
        <v>0.628</v>
      </c>
      <c r="H10" s="18">
        <f t="shared" si="1"/>
        <v>0.626</v>
      </c>
      <c r="I10" s="18">
        <f t="shared" si="1"/>
        <v>0.625</v>
      </c>
      <c r="J10" s="18">
        <f t="shared" si="1"/>
        <v>0.624</v>
      </c>
      <c r="K10" s="1"/>
      <c r="L10" s="1"/>
      <c r="M10" s="1"/>
      <c r="N10" s="1"/>
    </row>
    <row r="11" spans="1:14" ht="18" customHeight="1">
      <c r="A11" s="1"/>
      <c r="B11" s="28" t="s">
        <v>153</v>
      </c>
      <c r="C11" s="35">
        <f>과거재무제표!D9</f>
        <v>1127410.996362</v>
      </c>
      <c r="D11" s="35">
        <f>과거재무제표!E9</f>
        <v>1196174.5322139999</v>
      </c>
      <c r="E11" s="35">
        <f>과거재무제표!F9</f>
        <v>1223326.099469</v>
      </c>
      <c r="F11" s="35">
        <f>SUM(F7,F9)</f>
        <v>1308571.8304323</v>
      </c>
      <c r="G11" s="35">
        <f>SUM(G7,G9)</f>
        <v>1385131.6953028464</v>
      </c>
      <c r="H11" s="35">
        <f>SUM(H7,H9)</f>
        <v>1457832.9889838905</v>
      </c>
      <c r="I11" s="35">
        <f>SUM(I7,I9)</f>
        <v>1526379.9109439394</v>
      </c>
      <c r="J11" s="35">
        <f>SUM(J7,J9)</f>
        <v>1588509.5589037226</v>
      </c>
      <c r="K11" s="1"/>
      <c r="L11" s="1"/>
      <c r="M11" s="1"/>
      <c r="N11" s="1"/>
    </row>
    <row r="12" spans="1:14" ht="18" customHeight="1">
      <c r="A12" s="1"/>
      <c r="B12" s="1" t="s">
        <v>170</v>
      </c>
      <c r="C12" s="10">
        <f t="shared" ref="C12:J12" si="2">C11/C7</f>
        <v>0.38711277131292582</v>
      </c>
      <c r="D12" s="10">
        <f t="shared" si="2"/>
        <v>0.3853234764442437</v>
      </c>
      <c r="E12" s="10">
        <f t="shared" si="2"/>
        <v>0.36709593222287246</v>
      </c>
      <c r="F12" s="18">
        <f t="shared" si="2"/>
        <v>0.36999999999999994</v>
      </c>
      <c r="G12" s="18">
        <f t="shared" si="2"/>
        <v>0.37199999999999994</v>
      </c>
      <c r="H12" s="18">
        <f t="shared" si="2"/>
        <v>0.374</v>
      </c>
      <c r="I12" s="18">
        <f t="shared" si="2"/>
        <v>0.37500000000000006</v>
      </c>
      <c r="J12" s="18">
        <f t="shared" si="2"/>
        <v>0.37600000000000006</v>
      </c>
      <c r="K12" s="1"/>
      <c r="L12" s="1"/>
      <c r="M12" s="1"/>
      <c r="N12" s="1"/>
    </row>
    <row r="13" spans="1:14" ht="18" customHeight="1">
      <c r="A13" s="1"/>
      <c r="B13" s="1" t="s">
        <v>154</v>
      </c>
      <c r="C13" s="9">
        <f>과거재무제표!D10</f>
        <v>-482412.66648800002</v>
      </c>
      <c r="D13" s="9">
        <f>과거재무제표!E10</f>
        <v>-496065.56583400001</v>
      </c>
      <c r="E13" s="9">
        <f>과거재무제표!F10</f>
        <v>-488322.41086100001</v>
      </c>
      <c r="F13" s="21">
        <f>-F7*가정!F14</f>
        <v>-516355.37092734</v>
      </c>
      <c r="G13" s="21">
        <f>-G7*가정!G14</f>
        <v>-539903.48338417395</v>
      </c>
      <c r="H13" s="21">
        <f>-H7*가정!H14</f>
        <v>-561304.68025048182</v>
      </c>
      <c r="I13" s="21">
        <f>-I7*가정!I14</f>
        <v>-586129.88580247259</v>
      </c>
      <c r="J13" s="21">
        <f>-J7*가정!J14</f>
        <v>-604140.60351923481</v>
      </c>
      <c r="K13" s="1"/>
      <c r="L13" s="1"/>
      <c r="M13" s="1"/>
      <c r="N13" s="1"/>
    </row>
    <row r="14" spans="1:14" ht="18" customHeight="1">
      <c r="A14" s="1"/>
      <c r="B14" s="1" t="s">
        <v>98</v>
      </c>
      <c r="C14" s="10">
        <f t="shared" ref="C14:J14" si="3">-C13/C7</f>
        <v>0.16564332336941748</v>
      </c>
      <c r="D14" s="10">
        <f t="shared" si="3"/>
        <v>0.15979750715612218</v>
      </c>
      <c r="E14" s="10">
        <f t="shared" si="3"/>
        <v>0.14653588337414683</v>
      </c>
      <c r="F14" s="18">
        <f t="shared" si="3"/>
        <v>0.14599999999999999</v>
      </c>
      <c r="G14" s="18">
        <f t="shared" si="3"/>
        <v>0.14499999999999996</v>
      </c>
      <c r="H14" s="18">
        <f t="shared" si="3"/>
        <v>0.14399999999999999</v>
      </c>
      <c r="I14" s="18">
        <f t="shared" si="3"/>
        <v>0.14399999999999999</v>
      </c>
      <c r="J14" s="18">
        <f t="shared" si="3"/>
        <v>0.14299999999999999</v>
      </c>
      <c r="K14" s="1"/>
      <c r="L14" s="1"/>
      <c r="M14" s="1"/>
      <c r="N14" s="1"/>
    </row>
    <row r="15" spans="1:14" ht="18" customHeight="1">
      <c r="A15" s="1"/>
      <c r="B15" s="1" t="s">
        <v>155</v>
      </c>
      <c r="C15" s="9">
        <f>과거재무제표!D11</f>
        <v>-152607.18036999999</v>
      </c>
      <c r="D15" s="9">
        <f>과거재무제표!E11</f>
        <v>-156521.18813900001</v>
      </c>
      <c r="E15" s="9">
        <f>과거재무제표!F11</f>
        <v>-176745.66141599999</v>
      </c>
      <c r="F15" s="21">
        <f>-F7*가정!F15</f>
        <v>-187444.07300787003</v>
      </c>
      <c r="G15" s="21">
        <f>-G7*가정!G15</f>
        <v>-197344.03185766362</v>
      </c>
      <c r="H15" s="21">
        <f>-H7*가정!H15</f>
        <v>-202693.35675711845</v>
      </c>
      <c r="I15" s="21">
        <f>-I7*가정!I15</f>
        <v>-211658.01431755957</v>
      </c>
      <c r="J15" s="21">
        <f>-J7*가정!J15</f>
        <v>-219687.49218881267</v>
      </c>
      <c r="K15" s="1"/>
      <c r="L15" s="1"/>
      <c r="M15" s="1"/>
      <c r="N15" s="1"/>
    </row>
    <row r="16" spans="1:14" ht="18" customHeight="1">
      <c r="A16" s="1"/>
      <c r="B16" s="1" t="s">
        <v>100</v>
      </c>
      <c r="C16" s="10">
        <f t="shared" ref="C16:J16" si="4">-C15/C7</f>
        <v>5.2399868997120798E-2</v>
      </c>
      <c r="D16" s="10">
        <f t="shared" si="4"/>
        <v>5.0420140812789935E-2</v>
      </c>
      <c r="E16" s="10">
        <f t="shared" si="4"/>
        <v>5.3037872217406141E-2</v>
      </c>
      <c r="F16" s="18">
        <f t="shared" si="4"/>
        <v>5.3000000000000005E-2</v>
      </c>
      <c r="G16" s="18">
        <f t="shared" si="4"/>
        <v>5.2999999999999999E-2</v>
      </c>
      <c r="H16" s="18">
        <f t="shared" si="4"/>
        <v>5.1999999999999998E-2</v>
      </c>
      <c r="I16" s="18">
        <f t="shared" si="4"/>
        <v>5.1999999999999998E-2</v>
      </c>
      <c r="J16" s="18">
        <f t="shared" si="4"/>
        <v>5.1999999999999998E-2</v>
      </c>
      <c r="K16" s="1"/>
      <c r="L16" s="1"/>
      <c r="M16" s="1"/>
      <c r="N16" s="1"/>
    </row>
    <row r="17" spans="1:14" ht="18" customHeight="1">
      <c r="A17" s="1"/>
      <c r="B17" s="28" t="s">
        <v>156</v>
      </c>
      <c r="C17" s="35">
        <f>과거재무제표!D12</f>
        <v>492391.14950399997</v>
      </c>
      <c r="D17" s="35">
        <f>과거재무제표!E12</f>
        <v>543587.77824100002</v>
      </c>
      <c r="E17" s="35">
        <f>과거재무제표!F12</f>
        <v>558258.02719199995</v>
      </c>
      <c r="F17" s="35">
        <f>SUM(F11,F13,F15)</f>
        <v>604772.38649708999</v>
      </c>
      <c r="G17" s="35">
        <f>SUM(G11,G13,G15)</f>
        <v>647884.18006100878</v>
      </c>
      <c r="H17" s="35">
        <f>SUM(H11,H13,H15)</f>
        <v>693834.95197629021</v>
      </c>
      <c r="I17" s="35">
        <f>SUM(I11,I13,I15)</f>
        <v>728592.01082390721</v>
      </c>
      <c r="J17" s="35">
        <f>SUM(J11,J13,J15)</f>
        <v>764681.46319567505</v>
      </c>
      <c r="K17" s="1"/>
      <c r="L17" s="1"/>
      <c r="M17" s="1"/>
      <c r="N17" s="1"/>
    </row>
    <row r="18" spans="1:14" ht="18" customHeight="1">
      <c r="A18" s="1"/>
      <c r="B18" s="1" t="s">
        <v>171</v>
      </c>
      <c r="C18" s="10">
        <f t="shared" ref="C18:J18" si="5">C17/C7</f>
        <v>0.16906957894638755</v>
      </c>
      <c r="D18" s="10">
        <f t="shared" si="5"/>
        <v>0.17510582847533165</v>
      </c>
      <c r="E18" s="10">
        <f t="shared" si="5"/>
        <v>0.16752217663131946</v>
      </c>
      <c r="F18" s="18">
        <f t="shared" si="5"/>
        <v>0.17099999999999999</v>
      </c>
      <c r="G18" s="18">
        <f t="shared" si="5"/>
        <v>0.17399999999999999</v>
      </c>
      <c r="H18" s="18">
        <f t="shared" si="5"/>
        <v>0.17800000000000002</v>
      </c>
      <c r="I18" s="18">
        <f t="shared" si="5"/>
        <v>0.17900000000000005</v>
      </c>
      <c r="J18" s="18">
        <f t="shared" si="5"/>
        <v>0.18100000000000005</v>
      </c>
      <c r="K18" s="1"/>
      <c r="L18" s="1"/>
      <c r="M18" s="1"/>
      <c r="N18" s="1"/>
    </row>
    <row r="19" spans="1:14" ht="18" customHeight="1">
      <c r="A19" s="1"/>
      <c r="B19" s="1" t="s">
        <v>255</v>
      </c>
      <c r="C19" s="9">
        <f>과거재무제표!D27</f>
        <v>157191.97099999999</v>
      </c>
      <c r="D19" s="9">
        <f>과거재무제표!E27</f>
        <v>160451.39799999999</v>
      </c>
      <c r="E19" s="9">
        <f>과거재무제표!F27</f>
        <v>164615.89499999999</v>
      </c>
      <c r="F19" s="9">
        <f>'Capex_D&amp;A'!F8</f>
        <v>176834.03113950003</v>
      </c>
      <c r="G19" s="9">
        <f>'Capex_D&amp;A'!G8</f>
        <v>193620.55955846241</v>
      </c>
      <c r="H19" s="9">
        <f>'Capex_D&amp;A'!H8</f>
        <v>210489.2550939307</v>
      </c>
      <c r="I19" s="9">
        <f>'Capex_D&amp;A'!I8</f>
        <v>215728.36074674342</v>
      </c>
      <c r="J19" s="9">
        <f>'Capex_D&amp;A'!J8</f>
        <v>215462.73272364319</v>
      </c>
      <c r="K19" s="1"/>
      <c r="L19" s="1"/>
      <c r="M19" s="1"/>
      <c r="N19" s="1"/>
    </row>
    <row r="20" spans="1:14" ht="18" customHeight="1">
      <c r="A20" s="1"/>
      <c r="B20" s="28" t="s">
        <v>166</v>
      </c>
      <c r="C20" s="35">
        <f>C17+C19</f>
        <v>649583.12050399999</v>
      </c>
      <c r="D20" s="35">
        <f>D17+D19</f>
        <v>704039.17624099995</v>
      </c>
      <c r="E20" s="35">
        <f>E17+E19</f>
        <v>722873.92219199997</v>
      </c>
      <c r="F20" s="35">
        <f>SUM(F17,F19)</f>
        <v>781606.41763659008</v>
      </c>
      <c r="G20" s="35">
        <f>SUM(G17,G19)</f>
        <v>841504.73961947113</v>
      </c>
      <c r="H20" s="35">
        <f>SUM(H17,H19)</f>
        <v>904324.20707022096</v>
      </c>
      <c r="I20" s="35">
        <f>SUM(I17,I19)</f>
        <v>944320.3715706506</v>
      </c>
      <c r="J20" s="35">
        <f>SUM(J17,J19)</f>
        <v>980144.19591931824</v>
      </c>
      <c r="K20" s="1"/>
      <c r="L20" s="1"/>
      <c r="M20" s="1"/>
      <c r="N20" s="1"/>
    </row>
    <row r="21" spans="1:14" ht="18" customHeight="1">
      <c r="A21" s="1"/>
      <c r="B21" s="1" t="s">
        <v>256</v>
      </c>
      <c r="C21" s="10">
        <f t="shared" ref="C21:J21" si="6">C20/C7</f>
        <v>0.22304370170934529</v>
      </c>
      <c r="D21" s="10">
        <f t="shared" si="6"/>
        <v>0.22679200704934441</v>
      </c>
      <c r="E21" s="10">
        <f t="shared" si="6"/>
        <v>0.21692014619966091</v>
      </c>
      <c r="F21" s="18">
        <f t="shared" si="6"/>
        <v>0.221</v>
      </c>
      <c r="G21" s="18">
        <f t="shared" si="6"/>
        <v>0.22599999999999998</v>
      </c>
      <c r="H21" s="18">
        <f t="shared" si="6"/>
        <v>0.23200000000000004</v>
      </c>
      <c r="I21" s="18">
        <f t="shared" si="6"/>
        <v>0.23200000000000004</v>
      </c>
      <c r="J21" s="18">
        <f t="shared" si="6"/>
        <v>0.23200000000000004</v>
      </c>
      <c r="K21" s="1"/>
      <c r="L21" s="1"/>
      <c r="M21" s="1"/>
      <c r="N21" s="1"/>
    </row>
    <row r="22" spans="1:14" ht="18" customHeight="1">
      <c r="A22" s="1"/>
      <c r="B22" s="1" t="s">
        <v>102</v>
      </c>
      <c r="C22" s="10">
        <f>과거재무제표!D24</f>
        <v>0.25967558087217413</v>
      </c>
      <c r="D22" s="10">
        <f>과거재무제표!E24</f>
        <v>0.22967782458844349</v>
      </c>
      <c r="E22" s="10">
        <f>과거재무제표!F24</f>
        <v>0.28534284901972551</v>
      </c>
      <c r="F22" s="18">
        <f>가정!F16</f>
        <v>0.255</v>
      </c>
      <c r="G22" s="18">
        <f>가정!G16</f>
        <v>0.255</v>
      </c>
      <c r="H22" s="18">
        <f>가정!H16</f>
        <v>0.255</v>
      </c>
      <c r="I22" s="18">
        <f>가정!I16</f>
        <v>0.255</v>
      </c>
      <c r="J22" s="18">
        <f>가정!J16</f>
        <v>0.255</v>
      </c>
      <c r="K22" s="1"/>
      <c r="L22" s="1"/>
      <c r="M22" s="1"/>
      <c r="N22" s="1"/>
    </row>
    <row r="23" spans="1:14" ht="18" customHeight="1">
      <c r="A23" s="1"/>
      <c r="B23" s="1"/>
      <c r="C23" s="1"/>
      <c r="D23" s="1"/>
      <c r="E23" s="1"/>
      <c r="F23" s="1"/>
      <c r="G23" s="1"/>
      <c r="H23" s="1"/>
      <c r="I23" s="1"/>
      <c r="J23" s="1"/>
      <c r="K23" s="1"/>
      <c r="L23" s="1"/>
      <c r="M23" s="1"/>
      <c r="N23" s="1"/>
    </row>
    <row r="24" spans="1:14" ht="33.950000000000003" customHeight="1">
      <c r="A24" s="1"/>
      <c r="B24" s="92" t="s">
        <v>257</v>
      </c>
      <c r="C24" s="92" t="s">
        <v>257</v>
      </c>
      <c r="D24" s="92" t="s">
        <v>257</v>
      </c>
      <c r="E24" s="92" t="s">
        <v>257</v>
      </c>
      <c r="F24" s="92" t="s">
        <v>257</v>
      </c>
      <c r="G24" s="92" t="s">
        <v>257</v>
      </c>
      <c r="H24" s="92" t="s">
        <v>257</v>
      </c>
      <c r="I24" s="92" t="s">
        <v>257</v>
      </c>
      <c r="J24" s="92" t="s">
        <v>257</v>
      </c>
      <c r="K24" s="1"/>
      <c r="L24" s="1"/>
      <c r="M24" s="1"/>
      <c r="N24" s="1"/>
    </row>
    <row r="25" spans="1:14" ht="33.950000000000003" customHeight="1">
      <c r="A25" s="1"/>
      <c r="B25" s="92" t="s">
        <v>257</v>
      </c>
      <c r="C25" s="92" t="s">
        <v>257</v>
      </c>
      <c r="D25" s="92" t="s">
        <v>257</v>
      </c>
      <c r="E25" s="92" t="s">
        <v>257</v>
      </c>
      <c r="F25" s="92" t="s">
        <v>257</v>
      </c>
      <c r="G25" s="92" t="s">
        <v>257</v>
      </c>
      <c r="H25" s="92" t="s">
        <v>257</v>
      </c>
      <c r="I25" s="92" t="s">
        <v>257</v>
      </c>
      <c r="J25" s="92" t="s">
        <v>257</v>
      </c>
      <c r="K25" s="1"/>
      <c r="L25" s="1"/>
      <c r="M25" s="1"/>
      <c r="N25" s="1"/>
    </row>
    <row r="26" spans="1:14" ht="33.950000000000003" customHeight="1">
      <c r="A26" s="1"/>
      <c r="B26" s="92" t="s">
        <v>257</v>
      </c>
      <c r="C26" s="92" t="s">
        <v>257</v>
      </c>
      <c r="D26" s="92" t="s">
        <v>257</v>
      </c>
      <c r="E26" s="92" t="s">
        <v>257</v>
      </c>
      <c r="F26" s="92" t="s">
        <v>257</v>
      </c>
      <c r="G26" s="92" t="s">
        <v>257</v>
      </c>
      <c r="H26" s="92" t="s">
        <v>257</v>
      </c>
      <c r="I26" s="92" t="s">
        <v>257</v>
      </c>
      <c r="J26" s="92" t="s">
        <v>257</v>
      </c>
      <c r="K26" s="1"/>
      <c r="L26" s="1"/>
      <c r="M26" s="1"/>
      <c r="N26" s="1"/>
    </row>
    <row r="27" spans="1:14" ht="33.950000000000003" customHeight="1">
      <c r="A27" s="1"/>
      <c r="B27" s="92" t="s">
        <v>257</v>
      </c>
      <c r="C27" s="92" t="s">
        <v>257</v>
      </c>
      <c r="D27" s="92" t="s">
        <v>257</v>
      </c>
      <c r="E27" s="92" t="s">
        <v>257</v>
      </c>
      <c r="F27" s="92" t="s">
        <v>257</v>
      </c>
      <c r="G27" s="92" t="s">
        <v>257</v>
      </c>
      <c r="H27" s="92" t="s">
        <v>257</v>
      </c>
      <c r="I27" s="92" t="s">
        <v>257</v>
      </c>
      <c r="J27" s="92" t="s">
        <v>257</v>
      </c>
      <c r="K27" s="1"/>
      <c r="L27" s="1"/>
      <c r="M27" s="1"/>
      <c r="N27" s="1"/>
    </row>
    <row r="28" spans="1:14" ht="18" customHeight="1">
      <c r="A28" s="1"/>
      <c r="B28" s="1"/>
      <c r="C28" s="1"/>
      <c r="D28" s="1"/>
      <c r="E28" s="1"/>
      <c r="F28" s="1"/>
      <c r="G28" s="1"/>
      <c r="H28" s="1"/>
      <c r="I28" s="1"/>
      <c r="J28" s="1"/>
      <c r="K28" s="1"/>
      <c r="L28" s="1"/>
      <c r="M28" s="1"/>
      <c r="N28" s="1"/>
    </row>
    <row r="29" spans="1:14" ht="18" customHeight="1">
      <c r="A29" s="1"/>
      <c r="B29" s="1"/>
      <c r="C29" s="1"/>
      <c r="D29" s="1"/>
      <c r="E29" s="1"/>
      <c r="F29" s="1"/>
      <c r="G29" s="1"/>
      <c r="H29" s="1"/>
      <c r="I29" s="1"/>
      <c r="J29" s="1"/>
      <c r="K29" s="1"/>
      <c r="L29" s="1"/>
      <c r="M29" s="1"/>
      <c r="N29" s="1"/>
    </row>
    <row r="30" spans="1:14" ht="18" customHeight="1">
      <c r="A30" s="1"/>
      <c r="B30" s="1"/>
      <c r="C30" s="1"/>
      <c r="D30" s="1"/>
      <c r="E30" s="1"/>
      <c r="F30" s="1"/>
      <c r="G30" s="1"/>
      <c r="H30" s="1"/>
      <c r="I30" s="1"/>
      <c r="J30" s="1"/>
      <c r="K30" s="1"/>
      <c r="L30" s="1"/>
      <c r="M30" s="1"/>
      <c r="N30" s="1"/>
    </row>
    <row r="31" spans="1:14" ht="18" customHeight="1">
      <c r="A31" s="1"/>
      <c r="B31" s="1"/>
      <c r="C31" s="1"/>
      <c r="D31" s="1"/>
      <c r="E31" s="1"/>
      <c r="F31" s="1"/>
      <c r="G31" s="1"/>
      <c r="H31" s="1"/>
      <c r="I31" s="1"/>
      <c r="J31" s="1"/>
      <c r="K31" s="1"/>
      <c r="L31" s="1"/>
      <c r="M31" s="1"/>
      <c r="N31" s="1"/>
    </row>
    <row r="32" spans="1:14" ht="18" customHeight="1">
      <c r="A32" s="1"/>
      <c r="B32" s="1"/>
      <c r="C32" s="1"/>
      <c r="D32" s="1"/>
      <c r="E32" s="1"/>
      <c r="F32" s="1"/>
      <c r="G32" s="1"/>
      <c r="H32" s="1"/>
      <c r="I32" s="1"/>
      <c r="J32" s="1"/>
      <c r="K32" s="1"/>
      <c r="L32" s="1"/>
      <c r="M32" s="1"/>
      <c r="N32" s="1"/>
    </row>
    <row r="33" spans="1:14" ht="18" customHeight="1">
      <c r="A33" s="1"/>
      <c r="B33" s="1"/>
      <c r="C33" s="1"/>
      <c r="D33" s="1"/>
      <c r="E33" s="1"/>
      <c r="F33" s="1"/>
      <c r="G33" s="1"/>
      <c r="H33" s="1"/>
      <c r="I33" s="1"/>
      <c r="J33" s="1"/>
      <c r="K33" s="1"/>
      <c r="L33" s="1"/>
      <c r="M33" s="1"/>
      <c r="N33" s="1"/>
    </row>
    <row r="34" spans="1:14" ht="18" customHeight="1">
      <c r="A34" s="1"/>
      <c r="B34" s="1"/>
      <c r="C34" s="1"/>
      <c r="D34" s="1"/>
      <c r="E34" s="1"/>
      <c r="F34" s="1"/>
      <c r="G34" s="1"/>
      <c r="H34" s="1"/>
      <c r="I34" s="1"/>
      <c r="J34" s="1"/>
      <c r="K34" s="1"/>
      <c r="L34" s="1"/>
      <c r="M34" s="1"/>
      <c r="N34" s="1"/>
    </row>
    <row r="35" spans="1:14" ht="18" customHeight="1">
      <c r="A35" s="1"/>
      <c r="B35" s="1"/>
      <c r="C35" s="1"/>
      <c r="D35" s="1"/>
      <c r="E35" s="1"/>
      <c r="F35" s="1"/>
      <c r="G35" s="1"/>
      <c r="H35" s="1"/>
      <c r="I35" s="1"/>
      <c r="J35" s="1"/>
      <c r="K35" s="1"/>
      <c r="L35" s="1"/>
      <c r="M35" s="1"/>
      <c r="N35" s="1"/>
    </row>
    <row r="36" spans="1:14" ht="18" customHeight="1">
      <c r="A36" s="1"/>
      <c r="B36" s="1"/>
      <c r="C36" s="1"/>
      <c r="D36" s="1"/>
      <c r="E36" s="1"/>
      <c r="F36" s="1"/>
      <c r="G36" s="1"/>
      <c r="H36" s="1"/>
      <c r="I36" s="1"/>
      <c r="J36" s="1"/>
      <c r="K36" s="1"/>
      <c r="L36" s="1"/>
      <c r="M36" s="1"/>
      <c r="N36" s="1"/>
    </row>
    <row r="37" spans="1:14" ht="18" customHeight="1">
      <c r="A37" s="1"/>
      <c r="B37" s="1"/>
      <c r="C37" s="1"/>
      <c r="D37" s="1"/>
      <c r="E37" s="1"/>
      <c r="F37" s="1"/>
      <c r="G37" s="1"/>
      <c r="H37" s="1"/>
      <c r="I37" s="1"/>
      <c r="J37" s="1"/>
      <c r="K37" s="1"/>
      <c r="L37" s="1"/>
      <c r="M37" s="1"/>
      <c r="N37" s="1"/>
    </row>
    <row r="38" spans="1:14" ht="18" customHeight="1">
      <c r="A38" s="1"/>
      <c r="B38" s="1"/>
      <c r="C38" s="1"/>
      <c r="D38" s="1"/>
      <c r="E38" s="1"/>
      <c r="F38" s="1"/>
      <c r="G38" s="1"/>
      <c r="H38" s="1"/>
      <c r="I38" s="1"/>
      <c r="J38" s="1"/>
      <c r="K38" s="1"/>
      <c r="L38" s="1"/>
      <c r="M38" s="1"/>
      <c r="N38" s="1"/>
    </row>
    <row r="39" spans="1:14" ht="18" customHeight="1">
      <c r="A39" s="1"/>
      <c r="B39" s="1"/>
      <c r="C39" s="1"/>
      <c r="D39" s="1"/>
      <c r="E39" s="1"/>
      <c r="F39" s="1"/>
      <c r="G39" s="1"/>
      <c r="H39" s="1"/>
      <c r="I39" s="1"/>
      <c r="J39" s="1"/>
      <c r="K39" s="1"/>
      <c r="L39" s="1"/>
      <c r="M39" s="1"/>
      <c r="N39" s="1"/>
    </row>
    <row r="40" spans="1:14" ht="18" customHeight="1">
      <c r="A40" s="1"/>
      <c r="B40" s="1"/>
      <c r="C40" s="1"/>
      <c r="D40" s="1"/>
      <c r="E40" s="1"/>
      <c r="F40" s="1"/>
      <c r="G40" s="1"/>
      <c r="H40" s="1"/>
      <c r="I40" s="1"/>
      <c r="J40" s="1"/>
      <c r="K40" s="1"/>
      <c r="L40" s="1"/>
      <c r="M40" s="1"/>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3">
    <mergeCell ref="B1:J2"/>
    <mergeCell ref="B6:J6"/>
    <mergeCell ref="B24:J27"/>
  </mergeCells>
  <phoneticPr fontId="1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20"/>
  <sheetViews>
    <sheetView showGridLines="0" workbookViewId="0"/>
  </sheetViews>
  <sheetFormatPr defaultRowHeight="14.25"/>
  <cols>
    <col min="1" max="1" width="3" customWidth="1"/>
    <col min="2" max="2" width="39" customWidth="1"/>
    <col min="3" max="10" width="13" customWidth="1"/>
    <col min="11" max="11" width="3" customWidth="1"/>
    <col min="12" max="14" width="20" customWidth="1"/>
  </cols>
  <sheetData>
    <row r="1" spans="1:14" ht="18" customHeight="1">
      <c r="A1" s="1"/>
      <c r="B1" s="90" t="s">
        <v>258</v>
      </c>
      <c r="C1" s="90" t="s">
        <v>258</v>
      </c>
      <c r="D1" s="90" t="s">
        <v>258</v>
      </c>
      <c r="E1" s="90" t="s">
        <v>258</v>
      </c>
      <c r="F1" s="90" t="s">
        <v>258</v>
      </c>
      <c r="G1" s="90" t="s">
        <v>258</v>
      </c>
      <c r="H1" s="90" t="s">
        <v>258</v>
      </c>
      <c r="I1" s="90" t="s">
        <v>258</v>
      </c>
      <c r="J1" s="90" t="s">
        <v>258</v>
      </c>
      <c r="K1" s="1"/>
      <c r="L1" s="1"/>
      <c r="M1" s="1"/>
      <c r="N1" s="1"/>
    </row>
    <row r="2" spans="1:14" ht="18" customHeight="1">
      <c r="A2" s="1"/>
      <c r="B2" s="90" t="s">
        <v>258</v>
      </c>
      <c r="C2" s="90" t="s">
        <v>258</v>
      </c>
      <c r="D2" s="90" t="s">
        <v>258</v>
      </c>
      <c r="E2" s="90" t="s">
        <v>258</v>
      </c>
      <c r="F2" s="90" t="s">
        <v>258</v>
      </c>
      <c r="G2" s="90" t="s">
        <v>258</v>
      </c>
      <c r="H2" s="90" t="s">
        <v>258</v>
      </c>
      <c r="I2" s="90" t="s">
        <v>258</v>
      </c>
      <c r="J2" s="90" t="s">
        <v>258</v>
      </c>
      <c r="K2" s="1"/>
      <c r="L2" s="1"/>
      <c r="M2" s="1"/>
      <c r="N2" s="1"/>
    </row>
    <row r="3" spans="1:14" ht="18" customHeight="1">
      <c r="A3" s="1"/>
      <c r="B3" s="1"/>
      <c r="C3" s="1"/>
      <c r="D3" s="1"/>
      <c r="E3" s="1"/>
      <c r="F3" s="1"/>
      <c r="G3" s="1"/>
      <c r="H3" s="1"/>
      <c r="I3" s="1"/>
      <c r="J3" s="1"/>
      <c r="K3" s="1"/>
      <c r="L3" s="1"/>
      <c r="M3" s="1"/>
      <c r="N3" s="1"/>
    </row>
    <row r="4" spans="1:14" ht="18" customHeight="1">
      <c r="A4" s="1"/>
      <c r="B4" s="34" t="s">
        <v>142</v>
      </c>
      <c r="C4" s="15">
        <v>45291</v>
      </c>
      <c r="D4" s="15">
        <v>45657</v>
      </c>
      <c r="E4" s="15">
        <v>46022</v>
      </c>
      <c r="F4" s="16">
        <v>46387</v>
      </c>
      <c r="G4" s="16">
        <v>46752</v>
      </c>
      <c r="H4" s="16">
        <v>47118</v>
      </c>
      <c r="I4" s="16">
        <v>47483</v>
      </c>
      <c r="J4" s="16">
        <v>47848</v>
      </c>
      <c r="K4" s="1"/>
      <c r="L4" s="1"/>
      <c r="M4" s="1"/>
      <c r="N4" s="1"/>
    </row>
    <row r="5" spans="1:14" ht="18" customHeight="1">
      <c r="A5" s="1"/>
      <c r="B5" s="1"/>
      <c r="C5" s="1"/>
      <c r="D5" s="1"/>
      <c r="E5" s="1"/>
      <c r="F5" s="1"/>
      <c r="G5" s="1"/>
      <c r="H5" s="1"/>
      <c r="I5" s="1"/>
      <c r="J5" s="1"/>
      <c r="K5" s="1"/>
      <c r="L5" s="1"/>
      <c r="M5" s="1"/>
      <c r="N5" s="1"/>
    </row>
    <row r="6" spans="1:14" ht="18" customHeight="1">
      <c r="A6" s="1"/>
      <c r="B6" s="97" t="s">
        <v>259</v>
      </c>
      <c r="C6" s="97" t="s">
        <v>259</v>
      </c>
      <c r="D6" s="97" t="s">
        <v>259</v>
      </c>
      <c r="E6" s="97" t="s">
        <v>259</v>
      </c>
      <c r="F6" s="97" t="s">
        <v>259</v>
      </c>
      <c r="G6" s="97" t="s">
        <v>259</v>
      </c>
      <c r="H6" s="97" t="s">
        <v>259</v>
      </c>
      <c r="I6" s="97" t="s">
        <v>259</v>
      </c>
      <c r="J6" s="97" t="s">
        <v>259</v>
      </c>
      <c r="K6" s="1"/>
      <c r="L6" s="1"/>
      <c r="M6" s="1"/>
      <c r="N6" s="1"/>
    </row>
    <row r="7" spans="1:14" ht="18" customHeight="1">
      <c r="A7" s="1"/>
      <c r="B7" s="1" t="s">
        <v>147</v>
      </c>
      <c r="C7" s="9">
        <f>영업실적추정!C7</f>
        <v>2912358.0514750001</v>
      </c>
      <c r="D7" s="9">
        <f>영업실적추정!D7</f>
        <v>3104338.5761290002</v>
      </c>
      <c r="E7" s="9">
        <f>영업실적추정!E7</f>
        <v>3332442.5363730001</v>
      </c>
      <c r="F7" s="9">
        <f>영업실적추정!F7</f>
        <v>3536680.6227900004</v>
      </c>
      <c r="G7" s="9">
        <f>영업실적추정!G7</f>
        <v>3723472.2992012003</v>
      </c>
      <c r="H7" s="9">
        <f>영업실적추정!H7</f>
        <v>3897949.1684061242</v>
      </c>
      <c r="I7" s="9">
        <f>영업실적추정!I7</f>
        <v>4070346.429183838</v>
      </c>
      <c r="J7" s="9">
        <f>영업실적추정!J7</f>
        <v>4224759.4651694745</v>
      </c>
      <c r="K7" s="1"/>
      <c r="L7" s="1"/>
      <c r="M7" s="1"/>
      <c r="N7" s="1"/>
    </row>
    <row r="8" spans="1:14" ht="18" customHeight="1">
      <c r="A8" s="1"/>
      <c r="B8" s="1" t="s">
        <v>260</v>
      </c>
      <c r="C8" s="9">
        <f>-영업실적추정!C9</f>
        <v>1784947.0551130001</v>
      </c>
      <c r="D8" s="9">
        <f>-영업실적추정!D9</f>
        <v>1908164.043915</v>
      </c>
      <c r="E8" s="9">
        <f>-영업실적추정!E9</f>
        <v>2109116.4369040001</v>
      </c>
      <c r="F8" s="9">
        <f>-영업실적추정!F9</f>
        <v>2228108.7923577004</v>
      </c>
      <c r="G8" s="9">
        <f>-영업실적추정!G9</f>
        <v>2338340.6038983539</v>
      </c>
      <c r="H8" s="9">
        <f>-영업실적추정!H9</f>
        <v>2440116.1794222337</v>
      </c>
      <c r="I8" s="9">
        <f>-영업실적추정!I9</f>
        <v>2543966.5182398986</v>
      </c>
      <c r="J8" s="9">
        <f>-영업실적추정!J9</f>
        <v>2636249.9062657519</v>
      </c>
      <c r="K8" s="1"/>
      <c r="L8" s="1"/>
      <c r="M8" s="1"/>
      <c r="N8" s="1"/>
    </row>
    <row r="9" spans="1:14" ht="18" customHeight="1">
      <c r="A9" s="1"/>
      <c r="B9" s="1" t="s">
        <v>193</v>
      </c>
      <c r="C9" s="9">
        <f>과거재무제표!D39</f>
        <v>191028.999866</v>
      </c>
      <c r="D9" s="9">
        <f>과거재무제표!E39</f>
        <v>177313.941701</v>
      </c>
      <c r="E9" s="9">
        <f>과거재무제표!F39</f>
        <v>181999.325832</v>
      </c>
      <c r="F9" s="21">
        <f>F7/365*가정!F22</f>
        <v>193790.7190569863</v>
      </c>
      <c r="G9" s="21">
        <f>G7/365*가정!G22</f>
        <v>204025.87940828493</v>
      </c>
      <c r="H9" s="21">
        <f>H7/365*가정!H22</f>
        <v>208246.59940799841</v>
      </c>
      <c r="I9" s="21">
        <f>I7/365*가정!I22</f>
        <v>217456.86402488998</v>
      </c>
      <c r="J9" s="21">
        <f>J7/365*가정!J22</f>
        <v>219918.98585813705</v>
      </c>
      <c r="K9" s="1"/>
      <c r="L9" s="1"/>
      <c r="M9" s="1"/>
      <c r="N9" s="1"/>
    </row>
    <row r="10" spans="1:14" ht="18" customHeight="1">
      <c r="A10" s="1"/>
      <c r="B10" s="1" t="s">
        <v>261</v>
      </c>
      <c r="C10" s="11">
        <f>C9/C7*365</f>
        <v>23.941281847462612</v>
      </c>
      <c r="D10" s="11">
        <f>D9/D7*365</f>
        <v>20.848108907491667</v>
      </c>
      <c r="E10" s="11">
        <f>E9/E7*365</f>
        <v>19.934253390301979</v>
      </c>
      <c r="F10" s="11">
        <f>가정!F22</f>
        <v>20</v>
      </c>
      <c r="G10" s="11">
        <f>가정!G22</f>
        <v>20</v>
      </c>
      <c r="H10" s="11">
        <f>가정!H22</f>
        <v>19.5</v>
      </c>
      <c r="I10" s="11">
        <f>가정!I22</f>
        <v>19.5</v>
      </c>
      <c r="J10" s="11">
        <f>가정!J22</f>
        <v>19</v>
      </c>
      <c r="K10" s="1"/>
      <c r="L10" s="1"/>
      <c r="M10" s="1"/>
      <c r="N10" s="1"/>
    </row>
    <row r="11" spans="1:14" ht="18" customHeight="1">
      <c r="A11" s="1"/>
      <c r="B11" s="1" t="s">
        <v>195</v>
      </c>
      <c r="C11" s="9">
        <f>과거재무제표!D40</f>
        <v>259736.42755299999</v>
      </c>
      <c r="D11" s="9">
        <f>과거재무제표!E40</f>
        <v>316592.19940300001</v>
      </c>
      <c r="E11" s="9">
        <f>과거재무제표!F40</f>
        <v>321414.68328300002</v>
      </c>
      <c r="F11" s="9">
        <f>F8/365*가정!F23</f>
        <v>341846.82841652387</v>
      </c>
      <c r="G11" s="9">
        <f>G8/365*가정!G23</f>
        <v>358759.10635152826</v>
      </c>
      <c r="H11" s="9">
        <f>H8/365*가정!H23</f>
        <v>367688.73936499411</v>
      </c>
      <c r="I11" s="9">
        <f>I8/365*가정!I23</f>
        <v>383337.42055669706</v>
      </c>
      <c r="J11" s="9">
        <f>J8/365*가정!J23</f>
        <v>390020.53407767293</v>
      </c>
      <c r="K11" s="1"/>
      <c r="L11" s="1"/>
      <c r="M11" s="1"/>
      <c r="N11" s="1"/>
    </row>
    <row r="12" spans="1:14" ht="18" customHeight="1">
      <c r="A12" s="1"/>
      <c r="B12" s="1" t="s">
        <v>113</v>
      </c>
      <c r="C12" s="11">
        <f>C11/C8*365</f>
        <v>53.112945723111785</v>
      </c>
      <c r="D12" s="11">
        <f>D11/D8*365</f>
        <v>60.558814715430458</v>
      </c>
      <c r="E12" s="11">
        <f>E11/E8*365</f>
        <v>55.623462671650906</v>
      </c>
      <c r="F12" s="11">
        <f>가정!F23</f>
        <v>56</v>
      </c>
      <c r="G12" s="11">
        <f>가정!G23</f>
        <v>56</v>
      </c>
      <c r="H12" s="11">
        <f>가정!H23</f>
        <v>55</v>
      </c>
      <c r="I12" s="11">
        <f>가정!I23</f>
        <v>55</v>
      </c>
      <c r="J12" s="11">
        <f>가정!J23</f>
        <v>54</v>
      </c>
      <c r="K12" s="1"/>
      <c r="L12" s="1"/>
      <c r="M12" s="1"/>
      <c r="N12" s="1"/>
    </row>
    <row r="13" spans="1:14" ht="18" customHeight="1">
      <c r="A13" s="1"/>
      <c r="B13" s="1" t="s">
        <v>262</v>
      </c>
      <c r="C13" s="9">
        <f>과거재무제표!D41</f>
        <v>22932.594034999998</v>
      </c>
      <c r="D13" s="9">
        <f>과거재무제표!E41</f>
        <v>25822.384214000002</v>
      </c>
      <c r="E13" s="9">
        <f>과거재무제표!F41</f>
        <v>28585.443362999998</v>
      </c>
      <c r="F13" s="9">
        <f>F7*가정!F25</f>
        <v>31830.125605110003</v>
      </c>
      <c r="G13" s="9">
        <f>G7*가정!G25</f>
        <v>33511.250692810798</v>
      </c>
      <c r="H13" s="9">
        <f>H7*가정!H25</f>
        <v>35081.542515655114</v>
      </c>
      <c r="I13" s="9">
        <f>I7*가정!I25</f>
        <v>36633.117862654537</v>
      </c>
      <c r="J13" s="9">
        <f>J7*가정!J25</f>
        <v>38022.83518652527</v>
      </c>
      <c r="K13" s="1"/>
      <c r="L13" s="1"/>
      <c r="M13" s="1"/>
      <c r="N13" s="1"/>
    </row>
    <row r="14" spans="1:14" ht="18" customHeight="1">
      <c r="A14" s="1"/>
      <c r="B14" s="1" t="s">
        <v>263</v>
      </c>
      <c r="C14" s="10">
        <f>C13/C7</f>
        <v>7.8742358012557894E-3</v>
      </c>
      <c r="D14" s="10">
        <f>D13/D7</f>
        <v>8.3181597563367574E-3</v>
      </c>
      <c r="E14" s="10">
        <f>E13/E7</f>
        <v>8.5779253658525602E-3</v>
      </c>
      <c r="F14" s="10">
        <f>가정!F25</f>
        <v>8.9999999999999993E-3</v>
      </c>
      <c r="G14" s="10">
        <f>가정!G25</f>
        <v>8.9999999999999993E-3</v>
      </c>
      <c r="H14" s="10">
        <f>가정!H25</f>
        <v>8.9999999999999993E-3</v>
      </c>
      <c r="I14" s="10">
        <f>가정!I25</f>
        <v>8.9999999999999993E-3</v>
      </c>
      <c r="J14" s="10">
        <f>가정!J25</f>
        <v>8.9999999999999993E-3</v>
      </c>
      <c r="K14" s="1"/>
      <c r="L14" s="1"/>
      <c r="M14" s="1"/>
      <c r="N14" s="1"/>
    </row>
    <row r="15" spans="1:14" ht="18" customHeight="1">
      <c r="A15" s="1"/>
      <c r="B15" s="1" t="s">
        <v>218</v>
      </c>
      <c r="C15" s="9">
        <f>과거재무제표!D56</f>
        <v>122719.827001</v>
      </c>
      <c r="D15" s="9">
        <f>과거재무제표!E56</f>
        <v>163191.290408</v>
      </c>
      <c r="E15" s="9">
        <f>과거재무제표!F56</f>
        <v>145821.14516700001</v>
      </c>
      <c r="F15" s="9">
        <f>F8/365*가정!F24</f>
        <v>158714.59890767181</v>
      </c>
      <c r="G15" s="9">
        <f>G8/365*가정!G24</f>
        <v>169769.93425563391</v>
      </c>
      <c r="H15" s="9">
        <f>H8/365*가정!H24</f>
        <v>180501.74477917893</v>
      </c>
      <c r="I15" s="9">
        <f>I8/365*가정!I24</f>
        <v>191668.71027834853</v>
      </c>
      <c r="J15" s="9">
        <f>J8/365*가정!J24</f>
        <v>202232.86952175631</v>
      </c>
      <c r="K15" s="1"/>
      <c r="L15" s="1"/>
      <c r="M15" s="1"/>
      <c r="N15" s="1"/>
    </row>
    <row r="16" spans="1:14" ht="18" customHeight="1">
      <c r="A16" s="1"/>
      <c r="B16" s="1" t="s">
        <v>264</v>
      </c>
      <c r="C16" s="11">
        <f>C15/C8*365</f>
        <v>25.094714561451958</v>
      </c>
      <c r="D16" s="11">
        <f>D15/D8*365</f>
        <v>31.215775807571678</v>
      </c>
      <c r="E16" s="11">
        <f>E15/E8*365</f>
        <v>25.235552222087968</v>
      </c>
      <c r="F16" s="11">
        <f>가정!F24</f>
        <v>26</v>
      </c>
      <c r="G16" s="11">
        <f>가정!G24</f>
        <v>26.5</v>
      </c>
      <c r="H16" s="11">
        <f>가정!H24</f>
        <v>27</v>
      </c>
      <c r="I16" s="11">
        <f>가정!I24</f>
        <v>27.5</v>
      </c>
      <c r="J16" s="11">
        <f>가정!J24</f>
        <v>28</v>
      </c>
      <c r="K16" s="1"/>
      <c r="L16" s="1"/>
      <c r="M16" s="1"/>
      <c r="N16" s="1"/>
    </row>
    <row r="17" spans="1:14" ht="18" customHeight="1">
      <c r="A17" s="1"/>
      <c r="B17" s="1" t="s">
        <v>265</v>
      </c>
      <c r="C17" s="9">
        <f>SUM(과거재무제표!D57:D58)</f>
        <v>210406.52991400001</v>
      </c>
      <c r="D17" s="9">
        <f>SUM(과거재무제표!E57:E58)</f>
        <v>301157.90186699998</v>
      </c>
      <c r="E17" s="9">
        <f>SUM(과거재무제표!F57:F58)-'FDD 조정'!E29</f>
        <v>269668.94020900002</v>
      </c>
      <c r="F17" s="9">
        <f>F7*가정!F26</f>
        <v>286196.31765809213</v>
      </c>
      <c r="G17" s="9">
        <f>G7*가정!G26</f>
        <v>301311.92906319967</v>
      </c>
      <c r="H17" s="9">
        <f>H7*가정!H26</f>
        <v>315430.99798935268</v>
      </c>
      <c r="I17" s="9">
        <f>I7*가정!I26</f>
        <v>329381.78022594628</v>
      </c>
      <c r="J17" s="9">
        <f>J7*가정!J26</f>
        <v>341877.23769324599</v>
      </c>
      <c r="K17" s="1"/>
      <c r="L17" s="1"/>
      <c r="M17" s="1"/>
      <c r="N17" s="1"/>
    </row>
    <row r="18" spans="1:14" ht="18" customHeight="1">
      <c r="A18" s="1"/>
      <c r="B18" s="1" t="s">
        <v>263</v>
      </c>
      <c r="C18" s="10">
        <f>C17/C7</f>
        <v>7.2246106486610395E-2</v>
      </c>
      <c r="D18" s="10">
        <f>D17/D7</f>
        <v>9.7011938125168409E-2</v>
      </c>
      <c r="E18" s="10">
        <f>E17/E7</f>
        <v>8.092230766640772E-2</v>
      </c>
      <c r="F18" s="10">
        <f>가정!F26</f>
        <v>8.0922296408070596E-2</v>
      </c>
      <c r="G18" s="10">
        <f>가정!G26</f>
        <v>8.0922296408070596E-2</v>
      </c>
      <c r="H18" s="10">
        <f>가정!H26</f>
        <v>8.0922296408070596E-2</v>
      </c>
      <c r="I18" s="10">
        <f>가정!I26</f>
        <v>8.0922296408070596E-2</v>
      </c>
      <c r="J18" s="10">
        <f>가정!J26</f>
        <v>8.0922296408070596E-2</v>
      </c>
      <c r="K18" s="1"/>
      <c r="L18" s="1"/>
      <c r="M18" s="1"/>
      <c r="N18" s="1"/>
    </row>
    <row r="19" spans="1:14" ht="18" customHeight="1">
      <c r="A19" s="1"/>
      <c r="B19" s="28" t="s">
        <v>266</v>
      </c>
      <c r="C19" s="35">
        <f t="shared" ref="C19:J19" si="0">SUM(C9,C11,C13,-C15,-C17)</f>
        <v>140571.66453899996</v>
      </c>
      <c r="D19" s="35">
        <f t="shared" si="0"/>
        <v>55379.333043000079</v>
      </c>
      <c r="E19" s="35">
        <f t="shared" si="0"/>
        <v>116509.36710199993</v>
      </c>
      <c r="F19" s="35">
        <f t="shared" si="0"/>
        <v>122556.75651285617</v>
      </c>
      <c r="G19" s="35">
        <f t="shared" si="0"/>
        <v>125214.37313379039</v>
      </c>
      <c r="H19" s="35">
        <f t="shared" si="0"/>
        <v>115084.13852011604</v>
      </c>
      <c r="I19" s="35">
        <f t="shared" si="0"/>
        <v>116376.91193994676</v>
      </c>
      <c r="J19" s="35">
        <f t="shared" si="0"/>
        <v>103852.24790733296</v>
      </c>
      <c r="K19" s="1"/>
      <c r="L19" s="1"/>
      <c r="M19" s="1"/>
      <c r="N19" s="1"/>
    </row>
    <row r="20" spans="1:14" ht="18" customHeight="1">
      <c r="A20" s="1"/>
      <c r="B20" s="1" t="s">
        <v>263</v>
      </c>
      <c r="C20" s="10">
        <f t="shared" ref="C20:J20" si="1">C19/C7</f>
        <v>4.8267301634771755E-2</v>
      </c>
      <c r="D20" s="10">
        <f t="shared" si="1"/>
        <v>1.7839334107704236E-2</v>
      </c>
      <c r="E20" s="10">
        <f t="shared" si="1"/>
        <v>3.4962153384588489E-2</v>
      </c>
      <c r="F20" s="18">
        <f t="shared" si="1"/>
        <v>3.4653046057682796E-2</v>
      </c>
      <c r="G20" s="18">
        <f t="shared" si="1"/>
        <v>3.3628388523436241E-2</v>
      </c>
      <c r="H20" s="18">
        <f t="shared" si="1"/>
        <v>2.9524278934395156E-2</v>
      </c>
      <c r="I20" s="18">
        <f t="shared" si="1"/>
        <v>2.8591402222066385E-2</v>
      </c>
      <c r="J20" s="18">
        <f t="shared" si="1"/>
        <v>2.4581813180970521E-2</v>
      </c>
      <c r="K20" s="1"/>
      <c r="L20" s="1"/>
      <c r="M20" s="1"/>
      <c r="N20" s="1"/>
    </row>
    <row r="21" spans="1:14" ht="18" customHeight="1">
      <c r="A21" s="1"/>
      <c r="B21" s="28" t="s">
        <v>267</v>
      </c>
      <c r="C21" s="35"/>
      <c r="D21" s="35">
        <f t="shared" ref="D21:J21" si="2">D19-C19</f>
        <v>-85192.331495999882</v>
      </c>
      <c r="E21" s="35">
        <f t="shared" si="2"/>
        <v>61130.034058999852</v>
      </c>
      <c r="F21" s="35">
        <f t="shared" si="2"/>
        <v>6047.3894108562381</v>
      </c>
      <c r="G21" s="35">
        <f t="shared" si="2"/>
        <v>2657.6166209342191</v>
      </c>
      <c r="H21" s="35">
        <f t="shared" si="2"/>
        <v>-10130.234613674344</v>
      </c>
      <c r="I21" s="35">
        <f t="shared" si="2"/>
        <v>1292.7734198307153</v>
      </c>
      <c r="J21" s="35">
        <f t="shared" si="2"/>
        <v>-12524.6640326138</v>
      </c>
      <c r="K21" s="1"/>
      <c r="L21" s="1"/>
      <c r="M21" s="1"/>
      <c r="N21" s="1"/>
    </row>
    <row r="22" spans="1:14" ht="18" customHeight="1">
      <c r="A22" s="1"/>
      <c r="B22" s="1"/>
      <c r="C22" s="1"/>
      <c r="D22" s="1"/>
      <c r="E22" s="1"/>
      <c r="F22" s="1"/>
      <c r="G22" s="1"/>
      <c r="H22" s="1"/>
      <c r="I22" s="1"/>
      <c r="J22" s="1"/>
      <c r="K22" s="1"/>
      <c r="L22" s="1"/>
      <c r="M22" s="1"/>
      <c r="N22" s="1"/>
    </row>
    <row r="23" spans="1:14" ht="33.950000000000003" customHeight="1">
      <c r="A23" s="1"/>
      <c r="B23" s="92" t="s">
        <v>541</v>
      </c>
      <c r="C23" s="92" t="s">
        <v>541</v>
      </c>
      <c r="D23" s="92" t="s">
        <v>541</v>
      </c>
      <c r="E23" s="92" t="s">
        <v>541</v>
      </c>
      <c r="F23" s="92" t="s">
        <v>541</v>
      </c>
      <c r="G23" s="92" t="s">
        <v>541</v>
      </c>
      <c r="H23" s="92" t="s">
        <v>541</v>
      </c>
      <c r="I23" s="92" t="s">
        <v>541</v>
      </c>
      <c r="J23" s="92" t="s">
        <v>541</v>
      </c>
      <c r="K23" s="1"/>
      <c r="L23" s="1"/>
      <c r="M23" s="1"/>
      <c r="N23" s="1"/>
    </row>
    <row r="24" spans="1:14" ht="33.950000000000003" customHeight="1">
      <c r="A24" s="1"/>
      <c r="B24" s="92" t="s">
        <v>268</v>
      </c>
      <c r="C24" s="92" t="s">
        <v>268</v>
      </c>
      <c r="D24" s="92" t="s">
        <v>268</v>
      </c>
      <c r="E24" s="92" t="s">
        <v>268</v>
      </c>
      <c r="F24" s="92" t="s">
        <v>268</v>
      </c>
      <c r="G24" s="92" t="s">
        <v>268</v>
      </c>
      <c r="H24" s="92" t="s">
        <v>268</v>
      </c>
      <c r="I24" s="92" t="s">
        <v>268</v>
      </c>
      <c r="J24" s="92" t="s">
        <v>268</v>
      </c>
      <c r="K24" s="1"/>
      <c r="L24" s="1"/>
      <c r="M24" s="1"/>
      <c r="N24" s="1"/>
    </row>
    <row r="25" spans="1:14" ht="33.950000000000003" customHeight="1">
      <c r="A25" s="1"/>
      <c r="B25" s="92" t="s">
        <v>268</v>
      </c>
      <c r="C25" s="92" t="s">
        <v>268</v>
      </c>
      <c r="D25" s="92" t="s">
        <v>268</v>
      </c>
      <c r="E25" s="92" t="s">
        <v>268</v>
      </c>
      <c r="F25" s="92" t="s">
        <v>268</v>
      </c>
      <c r="G25" s="92" t="s">
        <v>268</v>
      </c>
      <c r="H25" s="92" t="s">
        <v>268</v>
      </c>
      <c r="I25" s="92" t="s">
        <v>268</v>
      </c>
      <c r="J25" s="92" t="s">
        <v>268</v>
      </c>
      <c r="K25" s="1"/>
      <c r="L25" s="1"/>
      <c r="M25" s="1"/>
      <c r="N25" s="1"/>
    </row>
    <row r="26" spans="1:14" ht="33.950000000000003" customHeight="1">
      <c r="A26" s="1"/>
      <c r="B26" s="92" t="s">
        <v>268</v>
      </c>
      <c r="C26" s="92" t="s">
        <v>268</v>
      </c>
      <c r="D26" s="92" t="s">
        <v>268</v>
      </c>
      <c r="E26" s="92" t="s">
        <v>268</v>
      </c>
      <c r="F26" s="92" t="s">
        <v>268</v>
      </c>
      <c r="G26" s="92" t="s">
        <v>268</v>
      </c>
      <c r="H26" s="92" t="s">
        <v>268</v>
      </c>
      <c r="I26" s="92" t="s">
        <v>268</v>
      </c>
      <c r="J26" s="92" t="s">
        <v>268</v>
      </c>
      <c r="K26" s="1"/>
      <c r="L26" s="1"/>
      <c r="M26" s="1"/>
      <c r="N26" s="1"/>
    </row>
    <row r="27" spans="1:14" ht="18" customHeight="1">
      <c r="A27" s="1"/>
      <c r="B27" s="1"/>
      <c r="C27" s="1"/>
      <c r="D27" s="1"/>
      <c r="E27" s="1"/>
      <c r="F27" s="1"/>
      <c r="G27" s="1"/>
      <c r="H27" s="1"/>
      <c r="I27" s="1"/>
      <c r="J27" s="1"/>
      <c r="K27" s="1"/>
      <c r="L27" s="1"/>
      <c r="M27" s="1"/>
      <c r="N27" s="1"/>
    </row>
    <row r="28" spans="1:14" ht="18" customHeight="1">
      <c r="A28" s="1"/>
      <c r="B28" s="1"/>
      <c r="C28" s="1"/>
      <c r="D28" s="1"/>
      <c r="E28" s="1"/>
      <c r="F28" s="1"/>
      <c r="G28" s="1"/>
      <c r="H28" s="1"/>
      <c r="I28" s="1"/>
      <c r="J28" s="1"/>
      <c r="K28" s="1"/>
      <c r="L28" s="1"/>
      <c r="M28" s="1"/>
      <c r="N28" s="1"/>
    </row>
    <row r="29" spans="1:14" ht="18" customHeight="1">
      <c r="A29" s="1"/>
      <c r="B29" s="1"/>
      <c r="C29" s="1"/>
      <c r="D29" s="1"/>
      <c r="E29" s="1"/>
      <c r="F29" s="1"/>
      <c r="G29" s="1"/>
      <c r="H29" s="1"/>
      <c r="I29" s="1"/>
      <c r="J29" s="1"/>
      <c r="K29" s="1"/>
      <c r="L29" s="1"/>
      <c r="M29" s="1"/>
      <c r="N29" s="1"/>
    </row>
    <row r="30" spans="1:14" ht="18" customHeight="1">
      <c r="A30" s="1"/>
      <c r="B30" s="1"/>
      <c r="C30" s="1"/>
      <c r="D30" s="1"/>
      <c r="E30" s="1"/>
      <c r="F30" s="1"/>
      <c r="G30" s="1"/>
      <c r="H30" s="1"/>
      <c r="I30" s="1"/>
      <c r="J30" s="1"/>
      <c r="K30" s="1"/>
      <c r="L30" s="1"/>
      <c r="M30" s="1"/>
      <c r="N30" s="1"/>
    </row>
    <row r="31" spans="1:14" ht="18" customHeight="1">
      <c r="A31" s="1"/>
      <c r="B31" s="1"/>
      <c r="C31" s="1"/>
      <c r="D31" s="1"/>
      <c r="E31" s="1"/>
      <c r="F31" s="1"/>
      <c r="G31" s="1"/>
      <c r="H31" s="1"/>
      <c r="I31" s="1"/>
      <c r="J31" s="1"/>
      <c r="K31" s="1"/>
      <c r="L31" s="1"/>
      <c r="M31" s="1"/>
      <c r="N31" s="1"/>
    </row>
    <row r="32" spans="1:14" ht="18" customHeight="1">
      <c r="A32" s="1"/>
      <c r="B32" s="1"/>
      <c r="C32" s="1"/>
      <c r="D32" s="1"/>
      <c r="E32" s="1"/>
      <c r="F32" s="1"/>
      <c r="G32" s="1"/>
      <c r="H32" s="1"/>
      <c r="I32" s="1"/>
      <c r="J32" s="1"/>
      <c r="K32" s="1"/>
      <c r="L32" s="1"/>
      <c r="M32" s="1"/>
      <c r="N32" s="1"/>
    </row>
    <row r="33" spans="1:14" ht="18" customHeight="1">
      <c r="A33" s="1"/>
      <c r="B33" s="1"/>
      <c r="C33" s="1"/>
      <c r="D33" s="1"/>
      <c r="E33" s="1"/>
      <c r="F33" s="1"/>
      <c r="G33" s="1"/>
      <c r="H33" s="1"/>
      <c r="I33" s="1"/>
      <c r="J33" s="1"/>
      <c r="K33" s="1"/>
      <c r="L33" s="1"/>
      <c r="M33" s="1"/>
      <c r="N33" s="1"/>
    </row>
    <row r="34" spans="1:14" ht="18" customHeight="1">
      <c r="A34" s="1"/>
      <c r="B34" s="1"/>
      <c r="C34" s="1"/>
      <c r="D34" s="1"/>
      <c r="E34" s="1"/>
      <c r="F34" s="1"/>
      <c r="G34" s="1"/>
      <c r="H34" s="1"/>
      <c r="I34" s="1"/>
      <c r="J34" s="1"/>
      <c r="K34" s="1"/>
      <c r="L34" s="1"/>
      <c r="M34" s="1"/>
      <c r="N34" s="1"/>
    </row>
    <row r="35" spans="1:14" ht="18" customHeight="1">
      <c r="A35" s="1"/>
      <c r="B35" s="1"/>
      <c r="C35" s="1"/>
      <c r="D35" s="1"/>
      <c r="E35" s="1"/>
      <c r="F35" s="1"/>
      <c r="G35" s="1"/>
      <c r="H35" s="1"/>
      <c r="I35" s="1"/>
      <c r="J35" s="1"/>
      <c r="K35" s="1"/>
      <c r="L35" s="1"/>
      <c r="M35" s="1"/>
      <c r="N35" s="1"/>
    </row>
    <row r="36" spans="1:14" ht="18" customHeight="1">
      <c r="A36" s="1"/>
      <c r="B36" s="1"/>
      <c r="C36" s="1"/>
      <c r="D36" s="1"/>
      <c r="E36" s="1"/>
      <c r="F36" s="1"/>
      <c r="G36" s="1"/>
      <c r="H36" s="1"/>
      <c r="I36" s="1"/>
      <c r="J36" s="1"/>
      <c r="K36" s="1"/>
      <c r="L36" s="1"/>
      <c r="M36" s="1"/>
      <c r="N36" s="1"/>
    </row>
    <row r="37" spans="1:14" ht="18" customHeight="1">
      <c r="A37" s="1"/>
      <c r="B37" s="1"/>
      <c r="C37" s="1"/>
      <c r="D37" s="1"/>
      <c r="E37" s="1"/>
      <c r="F37" s="1"/>
      <c r="G37" s="1"/>
      <c r="H37" s="1"/>
      <c r="I37" s="1"/>
      <c r="J37" s="1"/>
      <c r="K37" s="1"/>
      <c r="L37" s="1"/>
      <c r="M37" s="1"/>
      <c r="N37" s="1"/>
    </row>
    <row r="38" spans="1:14" ht="18" customHeight="1">
      <c r="A38" s="1"/>
      <c r="B38" s="1"/>
      <c r="C38" s="1"/>
      <c r="D38" s="1"/>
      <c r="E38" s="1"/>
      <c r="F38" s="1"/>
      <c r="G38" s="1"/>
      <c r="H38" s="1"/>
      <c r="I38" s="1"/>
      <c r="J38" s="1"/>
      <c r="K38" s="1"/>
      <c r="L38" s="1"/>
      <c r="M38" s="1"/>
      <c r="N38" s="1"/>
    </row>
    <row r="39" spans="1:14" ht="18" customHeight="1">
      <c r="A39" s="1"/>
      <c r="B39" s="1"/>
      <c r="C39" s="1"/>
      <c r="D39" s="1"/>
      <c r="E39" s="1"/>
      <c r="F39" s="1"/>
      <c r="G39" s="1"/>
      <c r="H39" s="1"/>
      <c r="I39" s="1"/>
      <c r="J39" s="1"/>
      <c r="K39" s="1"/>
      <c r="L39" s="1"/>
      <c r="M39" s="1"/>
      <c r="N39" s="1"/>
    </row>
    <row r="40" spans="1:14" ht="18" customHeight="1">
      <c r="A40" s="1"/>
      <c r="B40" s="1"/>
      <c r="C40" s="1"/>
      <c r="D40" s="1"/>
      <c r="E40" s="1"/>
      <c r="F40" s="1"/>
      <c r="G40" s="1"/>
      <c r="H40" s="1"/>
      <c r="I40" s="1"/>
      <c r="J40" s="1"/>
      <c r="K40" s="1"/>
      <c r="L40" s="1"/>
      <c r="M40" s="1"/>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3">
    <mergeCell ref="B1:J2"/>
    <mergeCell ref="B6:J6"/>
    <mergeCell ref="B23:J26"/>
  </mergeCells>
  <phoneticPr fontId="1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20"/>
  <sheetViews>
    <sheetView showGridLines="0" workbookViewId="0"/>
  </sheetViews>
  <sheetFormatPr defaultRowHeight="14.25"/>
  <cols>
    <col min="1" max="1" width="3" customWidth="1"/>
    <col min="2" max="2" width="39" customWidth="1"/>
    <col min="3" max="10" width="13" customWidth="1"/>
    <col min="11" max="11" width="3" customWidth="1"/>
    <col min="12" max="14" width="20" customWidth="1"/>
  </cols>
  <sheetData>
    <row r="1" spans="1:14" ht="18" customHeight="1">
      <c r="A1" s="1"/>
      <c r="B1" s="90" t="s">
        <v>269</v>
      </c>
      <c r="C1" s="90" t="s">
        <v>269</v>
      </c>
      <c r="D1" s="90" t="s">
        <v>269</v>
      </c>
      <c r="E1" s="90" t="s">
        <v>269</v>
      </c>
      <c r="F1" s="90" t="s">
        <v>269</v>
      </c>
      <c r="G1" s="90" t="s">
        <v>269</v>
      </c>
      <c r="H1" s="90" t="s">
        <v>269</v>
      </c>
      <c r="I1" s="90" t="s">
        <v>269</v>
      </c>
      <c r="J1" s="90" t="s">
        <v>269</v>
      </c>
      <c r="K1" s="1"/>
      <c r="L1" s="1"/>
      <c r="M1" s="1"/>
      <c r="N1" s="1"/>
    </row>
    <row r="2" spans="1:14" ht="18" customHeight="1">
      <c r="A2" s="1"/>
      <c r="B2" s="90" t="s">
        <v>269</v>
      </c>
      <c r="C2" s="90" t="s">
        <v>269</v>
      </c>
      <c r="D2" s="90" t="s">
        <v>269</v>
      </c>
      <c r="E2" s="90" t="s">
        <v>269</v>
      </c>
      <c r="F2" s="90" t="s">
        <v>269</v>
      </c>
      <c r="G2" s="90" t="s">
        <v>269</v>
      </c>
      <c r="H2" s="90" t="s">
        <v>269</v>
      </c>
      <c r="I2" s="90" t="s">
        <v>269</v>
      </c>
      <c r="J2" s="90" t="s">
        <v>269</v>
      </c>
      <c r="K2" s="1"/>
      <c r="L2" s="1"/>
      <c r="M2" s="1"/>
      <c r="N2" s="1"/>
    </row>
    <row r="3" spans="1:14" ht="18" customHeight="1">
      <c r="A3" s="1"/>
      <c r="B3" s="1"/>
      <c r="C3" s="1"/>
      <c r="D3" s="1"/>
      <c r="E3" s="1"/>
      <c r="F3" s="1"/>
      <c r="G3" s="1"/>
      <c r="H3" s="1"/>
      <c r="I3" s="1"/>
      <c r="J3" s="1"/>
      <c r="K3" s="1"/>
      <c r="L3" s="1"/>
      <c r="M3" s="1"/>
      <c r="N3" s="1"/>
    </row>
    <row r="4" spans="1:14" ht="18" customHeight="1">
      <c r="A4" s="1"/>
      <c r="B4" s="34" t="s">
        <v>142</v>
      </c>
      <c r="C4" s="15">
        <v>45291</v>
      </c>
      <c r="D4" s="15">
        <v>45657</v>
      </c>
      <c r="E4" s="15">
        <v>46022</v>
      </c>
      <c r="F4" s="16">
        <v>46387</v>
      </c>
      <c r="G4" s="16">
        <v>46752</v>
      </c>
      <c r="H4" s="16">
        <v>47118</v>
      </c>
      <c r="I4" s="16">
        <v>47483</v>
      </c>
      <c r="J4" s="16">
        <v>47848</v>
      </c>
      <c r="K4" s="1"/>
      <c r="L4" s="1"/>
      <c r="M4" s="1"/>
      <c r="N4" s="1"/>
    </row>
    <row r="5" spans="1:14" ht="18" customHeight="1">
      <c r="A5" s="1"/>
      <c r="B5" s="1"/>
      <c r="C5" s="1"/>
      <c r="D5" s="1"/>
      <c r="E5" s="1"/>
      <c r="F5" s="1"/>
      <c r="G5" s="1"/>
      <c r="H5" s="1"/>
      <c r="I5" s="1"/>
      <c r="J5" s="1"/>
      <c r="K5" s="1"/>
      <c r="L5" s="1"/>
      <c r="M5" s="1"/>
      <c r="N5" s="1"/>
    </row>
    <row r="6" spans="1:14" ht="18" customHeight="1">
      <c r="A6" s="1"/>
      <c r="B6" s="97" t="s">
        <v>270</v>
      </c>
      <c r="C6" s="97" t="s">
        <v>270</v>
      </c>
      <c r="D6" s="97" t="s">
        <v>270</v>
      </c>
      <c r="E6" s="97" t="s">
        <v>270</v>
      </c>
      <c r="F6" s="97" t="s">
        <v>270</v>
      </c>
      <c r="G6" s="97" t="s">
        <v>270</v>
      </c>
      <c r="H6" s="97" t="s">
        <v>270</v>
      </c>
      <c r="I6" s="97" t="s">
        <v>270</v>
      </c>
      <c r="J6" s="97" t="s">
        <v>270</v>
      </c>
      <c r="K6" s="1"/>
      <c r="L6" s="1"/>
      <c r="M6" s="1"/>
      <c r="N6" s="1"/>
    </row>
    <row r="7" spans="1:14" ht="18" customHeight="1">
      <c r="A7" s="1"/>
      <c r="B7" s="1" t="s">
        <v>147</v>
      </c>
      <c r="C7" s="9">
        <f>영업실적추정!C7</f>
        <v>2912358.0514750001</v>
      </c>
      <c r="D7" s="9">
        <f>영업실적추정!D7</f>
        <v>3104338.5761290002</v>
      </c>
      <c r="E7" s="9">
        <f>영업실적추정!E7</f>
        <v>3332442.5363730001</v>
      </c>
      <c r="F7" s="9">
        <f>영업실적추정!F7</f>
        <v>3536680.6227900004</v>
      </c>
      <c r="G7" s="9">
        <f>영업실적추정!G7</f>
        <v>3723472.2992012003</v>
      </c>
      <c r="H7" s="9">
        <f>영업실적추정!H7</f>
        <v>3897949.1684061242</v>
      </c>
      <c r="I7" s="9">
        <f>영업실적추정!I7</f>
        <v>4070346.429183838</v>
      </c>
      <c r="J7" s="9">
        <f>영업실적추정!J7</f>
        <v>4224759.4651694745</v>
      </c>
      <c r="K7" s="1"/>
      <c r="L7" s="1"/>
      <c r="M7" s="1"/>
      <c r="N7" s="1"/>
    </row>
    <row r="8" spans="1:14" ht="18" customHeight="1">
      <c r="A8" s="1"/>
      <c r="B8" s="1" t="s">
        <v>255</v>
      </c>
      <c r="C8" s="9">
        <f>과거재무제표!D27</f>
        <v>157191.97099999999</v>
      </c>
      <c r="D8" s="9">
        <f>과거재무제표!E27</f>
        <v>160451.39799999999</v>
      </c>
      <c r="E8" s="9">
        <f>과거재무제표!F27</f>
        <v>164615.89499999999</v>
      </c>
      <c r="F8" s="9">
        <f>F7*가정!F17</f>
        <v>176834.03113950003</v>
      </c>
      <c r="G8" s="9">
        <f>G7*가정!G17</f>
        <v>193620.55955846241</v>
      </c>
      <c r="H8" s="9">
        <f>H7*가정!H17</f>
        <v>210489.2550939307</v>
      </c>
      <c r="I8" s="9">
        <f>I7*가정!I17</f>
        <v>215728.36074674342</v>
      </c>
      <c r="J8" s="9">
        <f>J7*가정!J17</f>
        <v>215462.73272364319</v>
      </c>
      <c r="K8" s="1"/>
      <c r="L8" s="1"/>
      <c r="M8" s="1"/>
      <c r="N8" s="1"/>
    </row>
    <row r="9" spans="1:14" ht="18" customHeight="1">
      <c r="A9" s="1"/>
      <c r="B9" s="1" t="s">
        <v>104</v>
      </c>
      <c r="C9" s="10">
        <f>C8/C7</f>
        <v>5.3974122762957717E-2</v>
      </c>
      <c r="D9" s="10">
        <f>D8/D7</f>
        <v>5.1686178574012753E-2</v>
      </c>
      <c r="E9" s="10">
        <f>E8/E7</f>
        <v>4.9397969568341429E-2</v>
      </c>
      <c r="F9" s="10">
        <f>가정!F17</f>
        <v>0.05</v>
      </c>
      <c r="G9" s="10">
        <f>가정!G17</f>
        <v>5.1999999999999998E-2</v>
      </c>
      <c r="H9" s="10">
        <f>가정!H17</f>
        <v>5.3999999999999999E-2</v>
      </c>
      <c r="I9" s="10">
        <f>가정!I17</f>
        <v>5.2999999999999999E-2</v>
      </c>
      <c r="J9" s="10">
        <f>가정!J17</f>
        <v>5.0999999999999997E-2</v>
      </c>
      <c r="K9" s="1"/>
      <c r="L9" s="1"/>
      <c r="M9" s="1"/>
      <c r="N9" s="1"/>
    </row>
    <row r="10" spans="1:14" ht="18" customHeight="1">
      <c r="A10" s="1"/>
      <c r="B10" s="1" t="s">
        <v>177</v>
      </c>
      <c r="C10" s="9">
        <f>과거재무제표!D28</f>
        <v>166473.27125799999</v>
      </c>
      <c r="D10" s="9">
        <f>과거재무제표!E28</f>
        <v>106937.398828</v>
      </c>
      <c r="E10" s="9">
        <f>과거재무제표!F28</f>
        <v>122555.59461499999</v>
      </c>
      <c r="F10" s="21"/>
      <c r="G10" s="21"/>
      <c r="H10" s="21"/>
      <c r="I10" s="21"/>
      <c r="J10" s="21"/>
      <c r="K10" s="1"/>
      <c r="L10" s="1"/>
      <c r="M10" s="1"/>
      <c r="N10" s="1"/>
    </row>
    <row r="11" spans="1:14" ht="18" customHeight="1">
      <c r="A11" s="1"/>
      <c r="B11" s="1" t="s">
        <v>179</v>
      </c>
      <c r="C11" s="9">
        <f>과거재무제표!D29</f>
        <v>2331.3766519999999</v>
      </c>
      <c r="D11" s="9">
        <f>과거재무제표!E29</f>
        <v>16220.508501</v>
      </c>
      <c r="E11" s="9">
        <f>과거재무제표!F29</f>
        <v>23759.527941</v>
      </c>
      <c r="F11" s="21"/>
      <c r="G11" s="21"/>
      <c r="H11" s="21"/>
      <c r="I11" s="21"/>
      <c r="J11" s="21"/>
      <c r="K11" s="1"/>
      <c r="L11" s="1"/>
      <c r="M11" s="1"/>
      <c r="N11" s="1"/>
    </row>
    <row r="12" spans="1:14" ht="18" customHeight="1">
      <c r="A12" s="1"/>
      <c r="B12" s="1" t="s">
        <v>271</v>
      </c>
      <c r="C12" s="9">
        <f>SUM(C10:C11)</f>
        <v>168804.64791</v>
      </c>
      <c r="D12" s="9">
        <f>SUM(D10:D11)</f>
        <v>123157.90732900001</v>
      </c>
      <c r="E12" s="9">
        <f>SUM(E10:E11)</f>
        <v>146315.12255599999</v>
      </c>
      <c r="F12" s="21"/>
      <c r="G12" s="21"/>
      <c r="H12" s="21"/>
      <c r="I12" s="21"/>
      <c r="J12" s="21"/>
      <c r="K12" s="1"/>
      <c r="L12" s="1"/>
      <c r="M12" s="1"/>
      <c r="N12" s="1"/>
    </row>
    <row r="13" spans="1:14" ht="18" customHeight="1">
      <c r="A13" s="1"/>
      <c r="B13" s="1" t="s">
        <v>272</v>
      </c>
      <c r="C13" s="9"/>
      <c r="D13" s="9"/>
      <c r="E13" s="9"/>
      <c r="F13" s="21">
        <f>F7*가정!F18</f>
        <v>155613.94740276001</v>
      </c>
      <c r="G13" s="21">
        <f>G7*가정!G18</f>
        <v>167556.253464054</v>
      </c>
      <c r="H13" s="21">
        <f>H7*가정!H18</f>
        <v>187101.56008349397</v>
      </c>
      <c r="I13" s="21">
        <f>I7*가정!I18</f>
        <v>203517.32145919191</v>
      </c>
      <c r="J13" s="21">
        <f>J7*가정!J18</f>
        <v>215462.73272364319</v>
      </c>
      <c r="K13" s="1"/>
      <c r="L13" s="1"/>
      <c r="M13" s="1"/>
      <c r="N13" s="1"/>
    </row>
    <row r="14" spans="1:14" ht="18" customHeight="1">
      <c r="A14" s="1"/>
      <c r="B14" s="1" t="s">
        <v>273</v>
      </c>
      <c r="C14" s="9"/>
      <c r="D14" s="9"/>
      <c r="E14" s="9"/>
      <c r="F14" s="9">
        <f>가정!F19</f>
        <v>180000</v>
      </c>
      <c r="G14" s="9">
        <f>가정!G19</f>
        <v>170000</v>
      </c>
      <c r="H14" s="9">
        <f>가정!H19</f>
        <v>0</v>
      </c>
      <c r="I14" s="9">
        <f>가정!I19</f>
        <v>0</v>
      </c>
      <c r="J14" s="9">
        <f>가정!J19</f>
        <v>0</v>
      </c>
      <c r="K14" s="1"/>
      <c r="L14" s="1"/>
      <c r="M14" s="1"/>
      <c r="N14" s="1"/>
    </row>
    <row r="15" spans="1:14" ht="18" customHeight="1">
      <c r="A15" s="1"/>
      <c r="B15" s="28" t="s">
        <v>274</v>
      </c>
      <c r="C15" s="35">
        <f>C12+'FDD 조정'!C17</f>
        <v>189745.21891</v>
      </c>
      <c r="D15" s="35">
        <f>D12+'FDD 조정'!D17</f>
        <v>158994.57032900001</v>
      </c>
      <c r="E15" s="35">
        <f>E12+'FDD 조정'!E17</f>
        <v>158898.12255599999</v>
      </c>
      <c r="F15" s="35">
        <f>SUM(F13:F14)+'FDD 조정'!G17</f>
        <v>349053.33376936201</v>
      </c>
      <c r="G15" s="35">
        <f>SUM(G13:G14)+'FDD 조정'!H17</f>
        <v>351705.4482010185</v>
      </c>
      <c r="H15" s="35">
        <f>SUM(H13:H14)+'FDD 조정'!I17</f>
        <v>201913.76692343724</v>
      </c>
      <c r="I15" s="35">
        <f>SUM(I13:I14)+'FDD 조정'!J17</f>
        <v>218984.6378900905</v>
      </c>
      <c r="J15" s="35">
        <f>SUM(J13:J14)+'FDD 조정'!K17</f>
        <v>231516.81869128719</v>
      </c>
      <c r="K15" s="1"/>
      <c r="L15" s="1"/>
      <c r="M15" s="1"/>
      <c r="N15" s="1"/>
    </row>
    <row r="16" spans="1:14" ht="18" customHeight="1">
      <c r="A16" s="1"/>
      <c r="B16" s="1" t="s">
        <v>275</v>
      </c>
      <c r="C16" s="10">
        <f t="shared" ref="C16:J16" si="0">C15/C7</f>
        <v>6.5151748362087952E-2</v>
      </c>
      <c r="D16" s="10">
        <f t="shared" si="0"/>
        <v>5.1216890951134776E-2</v>
      </c>
      <c r="E16" s="10">
        <f t="shared" si="0"/>
        <v>4.7682179308917133E-2</v>
      </c>
      <c r="F16" s="18">
        <f t="shared" si="0"/>
        <v>9.8695180876695168E-2</v>
      </c>
      <c r="G16" s="18">
        <f t="shared" si="0"/>
        <v>9.4456308504422118E-2</v>
      </c>
      <c r="H16" s="18">
        <f t="shared" si="0"/>
        <v>5.1800000000000006E-2</v>
      </c>
      <c r="I16" s="18">
        <f t="shared" si="0"/>
        <v>5.3800000000000001E-2</v>
      </c>
      <c r="J16" s="18">
        <f t="shared" si="0"/>
        <v>5.4799999999999995E-2</v>
      </c>
      <c r="K16" s="1"/>
      <c r="L16" s="1"/>
      <c r="M16" s="1"/>
      <c r="N16" s="1"/>
    </row>
    <row r="17" spans="1:14" ht="18" customHeight="1">
      <c r="A17" s="1"/>
      <c r="B17" s="1" t="s">
        <v>276</v>
      </c>
      <c r="C17" s="9">
        <f t="shared" ref="C17:J17" si="1">C15-C8</f>
        <v>32553.247910000006</v>
      </c>
      <c r="D17" s="9">
        <f t="shared" si="1"/>
        <v>-1456.8276709999773</v>
      </c>
      <c r="E17" s="9">
        <f t="shared" si="1"/>
        <v>-5717.772444000002</v>
      </c>
      <c r="F17" s="21">
        <f t="shared" si="1"/>
        <v>172219.30262986198</v>
      </c>
      <c r="G17" s="21">
        <f t="shared" si="1"/>
        <v>158084.88864255609</v>
      </c>
      <c r="H17" s="21">
        <f t="shared" si="1"/>
        <v>-8575.4881704934523</v>
      </c>
      <c r="I17" s="21">
        <f t="shared" si="1"/>
        <v>3256.2771433470771</v>
      </c>
      <c r="J17" s="21">
        <f t="shared" si="1"/>
        <v>16054.085967644001</v>
      </c>
      <c r="K17" s="1"/>
      <c r="L17" s="1"/>
      <c r="M17" s="1"/>
      <c r="N17" s="1"/>
    </row>
    <row r="18" spans="1:14" ht="18" customHeight="1">
      <c r="A18" s="1"/>
      <c r="B18" s="1" t="s">
        <v>277</v>
      </c>
      <c r="C18" s="21"/>
      <c r="D18" s="21"/>
      <c r="E18" s="21"/>
      <c r="F18" s="21">
        <f>F14</f>
        <v>180000</v>
      </c>
      <c r="G18" s="21">
        <f>F18+G14</f>
        <v>350000</v>
      </c>
      <c r="H18" s="21">
        <f>G18+H14</f>
        <v>350000</v>
      </c>
      <c r="I18" s="21">
        <f>H18+I14</f>
        <v>350000</v>
      </c>
      <c r="J18" s="21">
        <f>I18+J14</f>
        <v>350000</v>
      </c>
      <c r="K18" s="1"/>
      <c r="L18" s="1"/>
      <c r="M18" s="1"/>
      <c r="N18" s="1"/>
    </row>
    <row r="19" spans="1:14" ht="18" customHeight="1">
      <c r="A19" s="1"/>
      <c r="B19" s="1"/>
      <c r="C19" s="1"/>
      <c r="D19" s="1"/>
      <c r="E19" s="1"/>
      <c r="F19" s="1"/>
      <c r="G19" s="1"/>
      <c r="H19" s="1"/>
      <c r="I19" s="1"/>
      <c r="J19" s="1"/>
      <c r="K19" s="1"/>
      <c r="L19" s="1"/>
      <c r="M19" s="1"/>
      <c r="N19" s="1"/>
    </row>
    <row r="20" spans="1:14" ht="33.950000000000003" customHeight="1">
      <c r="A20" s="1"/>
      <c r="B20" s="93" t="s">
        <v>542</v>
      </c>
      <c r="C20" s="93" t="s">
        <v>542</v>
      </c>
      <c r="D20" s="93" t="s">
        <v>542</v>
      </c>
      <c r="E20" s="93" t="s">
        <v>542</v>
      </c>
      <c r="F20" s="93" t="s">
        <v>542</v>
      </c>
      <c r="G20" s="93" t="s">
        <v>542</v>
      </c>
      <c r="H20" s="93" t="s">
        <v>542</v>
      </c>
      <c r="I20" s="93" t="s">
        <v>542</v>
      </c>
      <c r="J20" s="93" t="s">
        <v>542</v>
      </c>
      <c r="K20" s="1"/>
      <c r="L20" s="1"/>
      <c r="M20" s="1"/>
      <c r="N20" s="1"/>
    </row>
    <row r="21" spans="1:14" ht="33.950000000000003" customHeight="1">
      <c r="A21" s="1"/>
      <c r="B21" s="93" t="s">
        <v>278</v>
      </c>
      <c r="C21" s="93" t="s">
        <v>278</v>
      </c>
      <c r="D21" s="93" t="s">
        <v>278</v>
      </c>
      <c r="E21" s="93" t="s">
        <v>278</v>
      </c>
      <c r="F21" s="93" t="s">
        <v>278</v>
      </c>
      <c r="G21" s="93" t="s">
        <v>278</v>
      </c>
      <c r="H21" s="93" t="s">
        <v>278</v>
      </c>
      <c r="I21" s="93" t="s">
        <v>278</v>
      </c>
      <c r="J21" s="93" t="s">
        <v>278</v>
      </c>
      <c r="K21" s="1"/>
      <c r="L21" s="1"/>
      <c r="M21" s="1"/>
      <c r="N21" s="1"/>
    </row>
    <row r="22" spans="1:14" ht="33.950000000000003" customHeight="1">
      <c r="A22" s="1"/>
      <c r="B22" s="93" t="s">
        <v>278</v>
      </c>
      <c r="C22" s="93" t="s">
        <v>278</v>
      </c>
      <c r="D22" s="93" t="s">
        <v>278</v>
      </c>
      <c r="E22" s="93" t="s">
        <v>278</v>
      </c>
      <c r="F22" s="93" t="s">
        <v>278</v>
      </c>
      <c r="G22" s="93" t="s">
        <v>278</v>
      </c>
      <c r="H22" s="93" t="s">
        <v>278</v>
      </c>
      <c r="I22" s="93" t="s">
        <v>278</v>
      </c>
      <c r="J22" s="93" t="s">
        <v>278</v>
      </c>
      <c r="K22" s="1"/>
      <c r="L22" s="1"/>
      <c r="M22" s="1"/>
      <c r="N22" s="1"/>
    </row>
    <row r="23" spans="1:14" ht="33.950000000000003" customHeight="1">
      <c r="A23" s="1"/>
      <c r="B23" s="93" t="s">
        <v>278</v>
      </c>
      <c r="C23" s="93" t="s">
        <v>278</v>
      </c>
      <c r="D23" s="93" t="s">
        <v>278</v>
      </c>
      <c r="E23" s="93" t="s">
        <v>278</v>
      </c>
      <c r="F23" s="93" t="s">
        <v>278</v>
      </c>
      <c r="G23" s="93" t="s">
        <v>278</v>
      </c>
      <c r="H23" s="93" t="s">
        <v>278</v>
      </c>
      <c r="I23" s="93" t="s">
        <v>278</v>
      </c>
      <c r="J23" s="93" t="s">
        <v>278</v>
      </c>
      <c r="K23" s="1"/>
      <c r="L23" s="1"/>
      <c r="M23" s="1"/>
      <c r="N23" s="1"/>
    </row>
    <row r="24" spans="1:14" ht="33.950000000000003" customHeight="1">
      <c r="A24" s="1"/>
      <c r="B24" s="93" t="s">
        <v>278</v>
      </c>
      <c r="C24" s="93" t="s">
        <v>278</v>
      </c>
      <c r="D24" s="93" t="s">
        <v>278</v>
      </c>
      <c r="E24" s="93" t="s">
        <v>278</v>
      </c>
      <c r="F24" s="93" t="s">
        <v>278</v>
      </c>
      <c r="G24" s="93" t="s">
        <v>278</v>
      </c>
      <c r="H24" s="93" t="s">
        <v>278</v>
      </c>
      <c r="I24" s="93" t="s">
        <v>278</v>
      </c>
      <c r="J24" s="93" t="s">
        <v>278</v>
      </c>
      <c r="K24" s="1"/>
      <c r="L24" s="1"/>
      <c r="M24" s="1"/>
      <c r="N24" s="1"/>
    </row>
    <row r="25" spans="1:14" ht="18" customHeight="1">
      <c r="A25" s="1"/>
      <c r="B25" s="1"/>
      <c r="C25" s="1"/>
      <c r="D25" s="1"/>
      <c r="E25" s="1"/>
      <c r="F25" s="1"/>
      <c r="G25" s="1"/>
      <c r="H25" s="1"/>
      <c r="I25" s="1"/>
      <c r="J25" s="1"/>
      <c r="K25" s="1"/>
      <c r="L25" s="1"/>
      <c r="M25" s="1"/>
      <c r="N25" s="1"/>
    </row>
    <row r="26" spans="1:14" ht="18" customHeight="1">
      <c r="A26" s="1"/>
      <c r="B26" s="1"/>
      <c r="C26" s="1"/>
      <c r="D26" s="1"/>
      <c r="E26" s="1"/>
      <c r="F26" s="1"/>
      <c r="G26" s="1"/>
      <c r="H26" s="1"/>
      <c r="I26" s="1"/>
      <c r="J26" s="1"/>
      <c r="K26" s="1"/>
      <c r="L26" s="1"/>
      <c r="M26" s="1"/>
      <c r="N26" s="1"/>
    </row>
    <row r="27" spans="1:14" ht="18" customHeight="1">
      <c r="A27" s="1"/>
      <c r="B27" s="1"/>
      <c r="C27" s="1"/>
      <c r="D27" s="1"/>
      <c r="E27" s="1"/>
      <c r="F27" s="1"/>
      <c r="G27" s="1"/>
      <c r="H27" s="1"/>
      <c r="I27" s="1"/>
      <c r="J27" s="1"/>
      <c r="K27" s="1"/>
      <c r="L27" s="1"/>
      <c r="M27" s="1"/>
      <c r="N27" s="1"/>
    </row>
    <row r="28" spans="1:14" ht="18" customHeight="1">
      <c r="A28" s="1"/>
      <c r="B28" s="1"/>
      <c r="C28" s="1"/>
      <c r="D28" s="1"/>
      <c r="E28" s="1"/>
      <c r="F28" s="1"/>
      <c r="G28" s="1"/>
      <c r="H28" s="1"/>
      <c r="I28" s="1"/>
      <c r="J28" s="1"/>
      <c r="K28" s="1"/>
      <c r="L28" s="1"/>
      <c r="M28" s="1"/>
      <c r="N28" s="1"/>
    </row>
    <row r="29" spans="1:14" ht="18" customHeight="1">
      <c r="A29" s="1"/>
      <c r="B29" s="1"/>
      <c r="C29" s="1"/>
      <c r="D29" s="1"/>
      <c r="E29" s="1"/>
      <c r="F29" s="1"/>
      <c r="G29" s="1"/>
      <c r="H29" s="1"/>
      <c r="I29" s="1"/>
      <c r="J29" s="1"/>
      <c r="K29" s="1"/>
      <c r="L29" s="1"/>
      <c r="M29" s="1"/>
      <c r="N29" s="1"/>
    </row>
    <row r="30" spans="1:14" ht="18" customHeight="1">
      <c r="A30" s="1"/>
      <c r="B30" s="1"/>
      <c r="C30" s="1"/>
      <c r="D30" s="1"/>
      <c r="E30" s="1"/>
      <c r="F30" s="1"/>
      <c r="G30" s="1"/>
      <c r="H30" s="1"/>
      <c r="I30" s="1"/>
      <c r="J30" s="1"/>
      <c r="K30" s="1"/>
      <c r="L30" s="1"/>
      <c r="M30" s="1"/>
      <c r="N30" s="1"/>
    </row>
    <row r="31" spans="1:14" ht="18" customHeight="1">
      <c r="A31" s="1"/>
      <c r="B31" s="1"/>
      <c r="C31" s="1"/>
      <c r="D31" s="1"/>
      <c r="E31" s="1"/>
      <c r="F31" s="1"/>
      <c r="G31" s="1"/>
      <c r="H31" s="1"/>
      <c r="I31" s="1"/>
      <c r="J31" s="1"/>
      <c r="K31" s="1"/>
      <c r="L31" s="1"/>
      <c r="M31" s="1"/>
      <c r="N31" s="1"/>
    </row>
    <row r="32" spans="1:14" ht="18" customHeight="1">
      <c r="A32" s="1"/>
      <c r="B32" s="1"/>
      <c r="C32" s="1"/>
      <c r="D32" s="1"/>
      <c r="E32" s="1"/>
      <c r="F32" s="1"/>
      <c r="G32" s="1"/>
      <c r="H32" s="1"/>
      <c r="I32" s="1"/>
      <c r="J32" s="1"/>
      <c r="K32" s="1"/>
      <c r="L32" s="1"/>
      <c r="M32" s="1"/>
      <c r="N32" s="1"/>
    </row>
    <row r="33" spans="1:14" ht="18" customHeight="1">
      <c r="A33" s="1"/>
      <c r="B33" s="1"/>
      <c r="C33" s="1"/>
      <c r="D33" s="1"/>
      <c r="E33" s="1"/>
      <c r="F33" s="1"/>
      <c r="G33" s="1"/>
      <c r="H33" s="1"/>
      <c r="I33" s="1"/>
      <c r="J33" s="1"/>
      <c r="K33" s="1"/>
      <c r="L33" s="1"/>
      <c r="M33" s="1"/>
      <c r="N33" s="1"/>
    </row>
    <row r="34" spans="1:14" ht="18" customHeight="1">
      <c r="A34" s="1"/>
      <c r="B34" s="1"/>
      <c r="C34" s="1"/>
      <c r="D34" s="1"/>
      <c r="E34" s="1"/>
      <c r="F34" s="1"/>
      <c r="G34" s="1"/>
      <c r="H34" s="1"/>
      <c r="I34" s="1"/>
      <c r="J34" s="1"/>
      <c r="K34" s="1"/>
      <c r="L34" s="1"/>
      <c r="M34" s="1"/>
      <c r="N34" s="1"/>
    </row>
    <row r="35" spans="1:14" ht="18" customHeight="1">
      <c r="A35" s="1"/>
      <c r="B35" s="1"/>
      <c r="C35" s="1"/>
      <c r="D35" s="1"/>
      <c r="E35" s="1"/>
      <c r="F35" s="1"/>
      <c r="G35" s="1"/>
      <c r="H35" s="1"/>
      <c r="I35" s="1"/>
      <c r="J35" s="1"/>
      <c r="K35" s="1"/>
      <c r="L35" s="1"/>
      <c r="M35" s="1"/>
      <c r="N35" s="1"/>
    </row>
    <row r="36" spans="1:14" ht="18" customHeight="1">
      <c r="A36" s="1"/>
      <c r="B36" s="1"/>
      <c r="C36" s="1"/>
      <c r="D36" s="1"/>
      <c r="E36" s="1"/>
      <c r="F36" s="1"/>
      <c r="G36" s="1"/>
      <c r="H36" s="1"/>
      <c r="I36" s="1"/>
      <c r="J36" s="1"/>
      <c r="K36" s="1"/>
      <c r="L36" s="1"/>
      <c r="M36" s="1"/>
      <c r="N36" s="1"/>
    </row>
    <row r="37" spans="1:14" ht="18" customHeight="1">
      <c r="A37" s="1"/>
      <c r="B37" s="1"/>
      <c r="C37" s="1"/>
      <c r="D37" s="1"/>
      <c r="E37" s="1"/>
      <c r="F37" s="1"/>
      <c r="G37" s="1"/>
      <c r="H37" s="1"/>
      <c r="I37" s="1"/>
      <c r="J37" s="1"/>
      <c r="K37" s="1"/>
      <c r="L37" s="1"/>
      <c r="M37" s="1"/>
      <c r="N37" s="1"/>
    </row>
    <row r="38" spans="1:14" ht="18" customHeight="1">
      <c r="A38" s="1"/>
      <c r="B38" s="1"/>
      <c r="C38" s="1"/>
      <c r="D38" s="1"/>
      <c r="E38" s="1"/>
      <c r="F38" s="1"/>
      <c r="G38" s="1"/>
      <c r="H38" s="1"/>
      <c r="I38" s="1"/>
      <c r="J38" s="1"/>
      <c r="K38" s="1"/>
      <c r="L38" s="1"/>
      <c r="M38" s="1"/>
      <c r="N38" s="1"/>
    </row>
    <row r="39" spans="1:14" ht="18" customHeight="1">
      <c r="A39" s="1"/>
      <c r="B39" s="1"/>
      <c r="C39" s="1"/>
      <c r="D39" s="1"/>
      <c r="E39" s="1"/>
      <c r="F39" s="1"/>
      <c r="G39" s="1"/>
      <c r="H39" s="1"/>
      <c r="I39" s="1"/>
      <c r="J39" s="1"/>
      <c r="K39" s="1"/>
      <c r="L39" s="1"/>
      <c r="M39" s="1"/>
      <c r="N39" s="1"/>
    </row>
    <row r="40" spans="1:14" ht="18" customHeight="1">
      <c r="A40" s="1"/>
      <c r="B40" s="1"/>
      <c r="C40" s="1"/>
      <c r="D40" s="1"/>
      <c r="E40" s="1"/>
      <c r="F40" s="1"/>
      <c r="G40" s="1"/>
      <c r="H40" s="1"/>
      <c r="I40" s="1"/>
      <c r="J40" s="1"/>
      <c r="K40" s="1"/>
      <c r="L40" s="1"/>
      <c r="M40" s="1"/>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3">
    <mergeCell ref="B1:J2"/>
    <mergeCell ref="B6:J6"/>
    <mergeCell ref="B20:J24"/>
  </mergeCells>
  <phoneticPr fontId="1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20"/>
  <sheetViews>
    <sheetView showGridLines="0" workbookViewId="0"/>
  </sheetViews>
  <sheetFormatPr defaultRowHeight="14.25"/>
  <cols>
    <col min="1" max="1" width="3" customWidth="1"/>
    <col min="2" max="2" width="35" customWidth="1"/>
    <col min="3" max="4" width="13" customWidth="1"/>
    <col min="5" max="5" width="12.75" customWidth="1"/>
    <col min="6" max="10" width="13" customWidth="1"/>
    <col min="11" max="11" width="3" customWidth="1"/>
    <col min="12" max="14" width="20" customWidth="1"/>
  </cols>
  <sheetData>
    <row r="1" spans="1:14" ht="18" customHeight="1">
      <c r="A1" s="1"/>
      <c r="B1" s="90" t="s">
        <v>279</v>
      </c>
      <c r="C1" s="90" t="s">
        <v>279</v>
      </c>
      <c r="D1" s="90" t="s">
        <v>279</v>
      </c>
      <c r="E1" s="90" t="s">
        <v>279</v>
      </c>
      <c r="F1" s="90" t="s">
        <v>279</v>
      </c>
      <c r="G1" s="90" t="s">
        <v>279</v>
      </c>
      <c r="H1" s="90" t="s">
        <v>279</v>
      </c>
      <c r="I1" s="1"/>
      <c r="J1" s="1"/>
      <c r="K1" s="1"/>
      <c r="L1" s="1"/>
      <c r="M1" s="1"/>
      <c r="N1" s="1"/>
    </row>
    <row r="2" spans="1:14" ht="18" customHeight="1">
      <c r="A2" s="1"/>
      <c r="B2" s="90" t="s">
        <v>279</v>
      </c>
      <c r="C2" s="90" t="s">
        <v>279</v>
      </c>
      <c r="D2" s="90" t="s">
        <v>279</v>
      </c>
      <c r="E2" s="90" t="s">
        <v>279</v>
      </c>
      <c r="F2" s="90" t="s">
        <v>279</v>
      </c>
      <c r="G2" s="90" t="s">
        <v>279</v>
      </c>
      <c r="H2" s="90" t="s">
        <v>279</v>
      </c>
      <c r="I2" s="1"/>
      <c r="J2" s="1"/>
      <c r="K2" s="1"/>
      <c r="L2" s="1"/>
      <c r="M2" s="1"/>
      <c r="N2" s="1"/>
    </row>
    <row r="3" spans="1:14" ht="18" customHeight="1">
      <c r="A3" s="1"/>
      <c r="B3" s="1"/>
      <c r="C3" s="1"/>
      <c r="D3" s="1"/>
      <c r="E3" s="1"/>
      <c r="F3" s="1"/>
      <c r="G3" s="1"/>
      <c r="H3" s="1"/>
      <c r="I3" s="1"/>
      <c r="J3" s="1"/>
      <c r="K3" s="1"/>
      <c r="L3" s="1"/>
      <c r="M3" s="1"/>
      <c r="N3" s="1"/>
    </row>
    <row r="4" spans="1:14" ht="18" customHeight="1">
      <c r="A4" s="1"/>
      <c r="B4" s="97" t="s">
        <v>280</v>
      </c>
      <c r="C4" s="97" t="s">
        <v>280</v>
      </c>
      <c r="D4" s="97" t="s">
        <v>280</v>
      </c>
      <c r="E4" s="97" t="s">
        <v>280</v>
      </c>
      <c r="F4" s="97" t="s">
        <v>280</v>
      </c>
      <c r="G4" s="97" t="s">
        <v>280</v>
      </c>
      <c r="H4" s="97" t="s">
        <v>280</v>
      </c>
      <c r="I4" s="1"/>
      <c r="J4" s="1"/>
      <c r="K4" s="1"/>
      <c r="L4" s="1"/>
      <c r="M4" s="1"/>
      <c r="N4" s="1"/>
    </row>
    <row r="5" spans="1:14" ht="18" customHeight="1">
      <c r="A5" s="1"/>
      <c r="B5" s="1" t="s">
        <v>121</v>
      </c>
      <c r="C5" s="10">
        <f>가정!C30</f>
        <v>3.1E-2</v>
      </c>
      <c r="D5" s="1"/>
      <c r="E5" s="5" t="s">
        <v>281</v>
      </c>
      <c r="F5" s="5" t="s">
        <v>281</v>
      </c>
      <c r="G5" s="5" t="s">
        <v>281</v>
      </c>
      <c r="H5" s="5" t="s">
        <v>281</v>
      </c>
      <c r="I5" s="1"/>
      <c r="J5" s="1"/>
      <c r="K5" s="1"/>
      <c r="L5" s="1"/>
      <c r="M5" s="1"/>
      <c r="N5" s="1"/>
    </row>
    <row r="6" spans="1:14" ht="18" customHeight="1">
      <c r="A6" s="1"/>
      <c r="B6" s="1" t="s">
        <v>123</v>
      </c>
      <c r="C6" s="10">
        <f>가정!C31</f>
        <v>0.06</v>
      </c>
      <c r="D6" s="1"/>
      <c r="E6" s="5" t="s">
        <v>281</v>
      </c>
      <c r="F6" s="5" t="s">
        <v>281</v>
      </c>
      <c r="G6" s="5" t="s">
        <v>281</v>
      </c>
      <c r="H6" s="5" t="s">
        <v>281</v>
      </c>
      <c r="I6" s="1"/>
      <c r="J6" s="1"/>
      <c r="K6" s="1"/>
      <c r="L6" s="1"/>
      <c r="M6" s="1"/>
      <c r="N6" s="1"/>
    </row>
    <row r="7" spans="1:14" ht="18" customHeight="1">
      <c r="A7" s="1"/>
      <c r="B7" s="1" t="s">
        <v>125</v>
      </c>
      <c r="C7" s="36">
        <f>가정!C32</f>
        <v>0.9</v>
      </c>
      <c r="D7" s="1"/>
      <c r="E7" s="5" t="s">
        <v>281</v>
      </c>
      <c r="F7" s="5" t="s">
        <v>281</v>
      </c>
      <c r="G7" s="5" t="s">
        <v>281</v>
      </c>
      <c r="H7" s="5" t="s">
        <v>281</v>
      </c>
      <c r="I7" s="1"/>
      <c r="J7" s="1"/>
      <c r="K7" s="1"/>
      <c r="L7" s="1"/>
      <c r="M7" s="1"/>
      <c r="N7" s="1"/>
    </row>
    <row r="8" spans="1:14" ht="18" customHeight="1">
      <c r="A8" s="1"/>
      <c r="B8" s="1" t="s">
        <v>127</v>
      </c>
      <c r="C8" s="10">
        <f>가정!C33</f>
        <v>1.2999999999999999E-2</v>
      </c>
      <c r="D8" s="1"/>
      <c r="E8" s="5" t="s">
        <v>281</v>
      </c>
      <c r="F8" s="5" t="s">
        <v>281</v>
      </c>
      <c r="G8" s="5" t="s">
        <v>281</v>
      </c>
      <c r="H8" s="5" t="s">
        <v>281</v>
      </c>
      <c r="I8" s="1"/>
      <c r="J8" s="1"/>
      <c r="K8" s="1"/>
      <c r="L8" s="1"/>
      <c r="M8" s="1"/>
      <c r="N8" s="1"/>
    </row>
    <row r="9" spans="1:14" ht="18" customHeight="1">
      <c r="A9" s="1"/>
      <c r="B9" s="28" t="s">
        <v>280</v>
      </c>
      <c r="C9" s="37">
        <f>C5+C6*C7+C8</f>
        <v>9.799999999999999E-2</v>
      </c>
      <c r="D9" s="1"/>
      <c r="E9" s="5" t="s">
        <v>281</v>
      </c>
      <c r="F9" s="5" t="s">
        <v>281</v>
      </c>
      <c r="G9" s="5" t="s">
        <v>281</v>
      </c>
      <c r="H9" s="5" t="s">
        <v>281</v>
      </c>
      <c r="I9" s="1"/>
      <c r="J9" s="1"/>
      <c r="K9" s="1"/>
      <c r="L9" s="1"/>
      <c r="M9" s="1"/>
      <c r="N9" s="1"/>
    </row>
    <row r="10" spans="1:14" ht="18" customHeight="1">
      <c r="A10" s="1"/>
      <c r="B10" s="1"/>
      <c r="C10" s="1"/>
      <c r="D10" s="1"/>
      <c r="E10" s="5" t="s">
        <v>281</v>
      </c>
      <c r="F10" s="5" t="s">
        <v>281</v>
      </c>
      <c r="G10" s="5" t="s">
        <v>281</v>
      </c>
      <c r="H10" s="5" t="s">
        <v>281</v>
      </c>
      <c r="I10" s="1"/>
      <c r="J10" s="1"/>
      <c r="K10" s="1"/>
      <c r="L10" s="1"/>
      <c r="M10" s="1"/>
      <c r="N10" s="1"/>
    </row>
    <row r="11" spans="1:14" ht="18" customHeight="1">
      <c r="A11" s="1"/>
      <c r="B11" s="97" t="s">
        <v>282</v>
      </c>
      <c r="C11" s="97" t="s">
        <v>282</v>
      </c>
      <c r="D11" s="97" t="s">
        <v>282</v>
      </c>
      <c r="E11" s="109" t="s">
        <v>281</v>
      </c>
      <c r="F11" s="109" t="s">
        <v>281</v>
      </c>
      <c r="G11" s="109" t="s">
        <v>281</v>
      </c>
      <c r="H11" s="109" t="s">
        <v>281</v>
      </c>
      <c r="I11" s="1"/>
      <c r="J11" s="1"/>
      <c r="K11" s="1"/>
      <c r="L11" s="1"/>
      <c r="M11" s="1"/>
      <c r="N11" s="1"/>
    </row>
    <row r="12" spans="1:14" ht="18" customHeight="1">
      <c r="A12" s="1"/>
      <c r="B12" s="1" t="s">
        <v>129</v>
      </c>
      <c r="C12" s="10">
        <f>가정!C34</f>
        <v>4.4999999999999998E-2</v>
      </c>
      <c r="D12" s="1"/>
      <c r="E12" s="5" t="s">
        <v>281</v>
      </c>
      <c r="F12" s="5" t="s">
        <v>281</v>
      </c>
      <c r="G12" s="5" t="s">
        <v>281</v>
      </c>
      <c r="H12" s="5" t="s">
        <v>281</v>
      </c>
      <c r="I12" s="1"/>
      <c r="J12" s="1"/>
      <c r="K12" s="1"/>
      <c r="L12" s="1"/>
      <c r="M12" s="1"/>
      <c r="N12" s="1"/>
    </row>
    <row r="13" spans="1:14" ht="18" customHeight="1">
      <c r="A13" s="1"/>
      <c r="B13" s="1" t="s">
        <v>283</v>
      </c>
      <c r="C13" s="10">
        <f>가정!F16</f>
        <v>0.255</v>
      </c>
      <c r="D13" s="1"/>
      <c r="E13" s="5" t="s">
        <v>281</v>
      </c>
      <c r="F13" s="5" t="s">
        <v>281</v>
      </c>
      <c r="G13" s="5" t="s">
        <v>281</v>
      </c>
      <c r="H13" s="5" t="s">
        <v>281</v>
      </c>
      <c r="I13" s="1"/>
      <c r="J13" s="1"/>
      <c r="K13" s="1"/>
      <c r="L13" s="1"/>
      <c r="M13" s="1"/>
      <c r="N13" s="1"/>
    </row>
    <row r="14" spans="1:14" ht="18" customHeight="1">
      <c r="A14" s="1"/>
      <c r="B14" s="28" t="s">
        <v>282</v>
      </c>
      <c r="C14" s="37">
        <f>C12*(1-C13)</f>
        <v>3.3524999999999999E-2</v>
      </c>
      <c r="D14" s="1"/>
      <c r="E14" s="5" t="s">
        <v>281</v>
      </c>
      <c r="F14" s="5" t="s">
        <v>281</v>
      </c>
      <c r="G14" s="5" t="s">
        <v>281</v>
      </c>
      <c r="H14" s="5" t="s">
        <v>281</v>
      </c>
      <c r="I14" s="1"/>
      <c r="J14" s="1"/>
      <c r="K14" s="1"/>
      <c r="L14" s="1"/>
      <c r="M14" s="1"/>
      <c r="N14" s="1"/>
    </row>
    <row r="15" spans="1:14" ht="18" customHeight="1">
      <c r="A15" s="1"/>
      <c r="B15" s="1"/>
      <c r="C15" s="1"/>
      <c r="D15" s="1"/>
      <c r="E15" s="5" t="s">
        <v>281</v>
      </c>
      <c r="F15" s="5" t="s">
        <v>281</v>
      </c>
      <c r="G15" s="5" t="s">
        <v>281</v>
      </c>
      <c r="H15" s="5" t="s">
        <v>281</v>
      </c>
      <c r="I15" s="1"/>
      <c r="J15" s="1"/>
      <c r="K15" s="1"/>
      <c r="L15" s="1"/>
      <c r="M15" s="1"/>
      <c r="N15" s="1"/>
    </row>
    <row r="16" spans="1:14" ht="18" customHeight="1">
      <c r="A16" s="1"/>
      <c r="B16" s="97" t="s">
        <v>284</v>
      </c>
      <c r="C16" s="97" t="s">
        <v>284</v>
      </c>
      <c r="D16" s="97" t="s">
        <v>284</v>
      </c>
      <c r="E16" s="109" t="s">
        <v>281</v>
      </c>
      <c r="F16" s="109" t="s">
        <v>281</v>
      </c>
      <c r="G16" s="109" t="s">
        <v>281</v>
      </c>
      <c r="H16" s="109" t="s">
        <v>281</v>
      </c>
      <c r="I16" s="1"/>
      <c r="J16" s="1"/>
      <c r="K16" s="1"/>
      <c r="L16" s="1"/>
      <c r="M16" s="1"/>
      <c r="N16" s="1"/>
    </row>
    <row r="17" spans="1:14" ht="18" customHeight="1">
      <c r="A17" s="1"/>
      <c r="B17" s="1" t="s">
        <v>285</v>
      </c>
      <c r="C17" s="10">
        <f>가정!C35</f>
        <v>0.95</v>
      </c>
      <c r="D17" s="1"/>
      <c r="E17" s="5" t="s">
        <v>281</v>
      </c>
      <c r="F17" s="5" t="s">
        <v>281</v>
      </c>
      <c r="G17" s="5" t="s">
        <v>281</v>
      </c>
      <c r="H17" s="5" t="s">
        <v>281</v>
      </c>
      <c r="I17" s="1"/>
      <c r="J17" s="1"/>
      <c r="K17" s="1"/>
      <c r="L17" s="1"/>
      <c r="M17" s="1"/>
      <c r="N17" s="1"/>
    </row>
    <row r="18" spans="1:14" ht="18" customHeight="1">
      <c r="A18" s="1"/>
      <c r="B18" s="1" t="s">
        <v>286</v>
      </c>
      <c r="C18" s="10">
        <f>가정!C36</f>
        <v>0.05</v>
      </c>
      <c r="D18" s="1"/>
      <c r="E18" s="5" t="s">
        <v>281</v>
      </c>
      <c r="F18" s="5" t="s">
        <v>281</v>
      </c>
      <c r="G18" s="5" t="s">
        <v>281</v>
      </c>
      <c r="H18" s="5" t="s">
        <v>281</v>
      </c>
      <c r="I18" s="1"/>
      <c r="J18" s="1"/>
      <c r="K18" s="1"/>
      <c r="L18" s="1"/>
      <c r="M18" s="1"/>
      <c r="N18" s="1"/>
    </row>
    <row r="19" spans="1:14" ht="18" customHeight="1">
      <c r="A19" s="1"/>
      <c r="B19" s="1" t="s">
        <v>287</v>
      </c>
      <c r="C19" s="18">
        <f>SUM(C17:C18)</f>
        <v>1</v>
      </c>
      <c r="D19" s="1"/>
      <c r="E19" s="5" t="s">
        <v>281</v>
      </c>
      <c r="F19" s="5" t="s">
        <v>281</v>
      </c>
      <c r="G19" s="5" t="s">
        <v>281</v>
      </c>
      <c r="H19" s="5" t="s">
        <v>281</v>
      </c>
      <c r="I19" s="1"/>
      <c r="J19" s="1"/>
      <c r="K19" s="1"/>
      <c r="L19" s="1"/>
      <c r="M19" s="1"/>
      <c r="N19" s="1"/>
    </row>
    <row r="20" spans="1:14" ht="18" customHeight="1">
      <c r="A20" s="1"/>
      <c r="B20" s="28" t="s">
        <v>288</v>
      </c>
      <c r="C20" s="37">
        <f>C9*C17+C14*C18</f>
        <v>9.4776249999999992E-2</v>
      </c>
      <c r="D20" s="1"/>
      <c r="E20" s="5" t="s">
        <v>281</v>
      </c>
      <c r="F20" s="5" t="s">
        <v>281</v>
      </c>
      <c r="G20" s="5" t="s">
        <v>281</v>
      </c>
      <c r="H20" s="5" t="s">
        <v>281</v>
      </c>
      <c r="I20" s="1"/>
      <c r="J20" s="1"/>
      <c r="K20" s="1"/>
      <c r="L20" s="1"/>
      <c r="M20" s="1"/>
      <c r="N20" s="1"/>
    </row>
    <row r="21" spans="1:14" ht="18" customHeight="1">
      <c r="A21" s="1"/>
      <c r="B21" s="1"/>
      <c r="C21" s="1"/>
      <c r="D21" s="1"/>
      <c r="E21" s="1"/>
      <c r="F21" s="1"/>
      <c r="G21" s="1"/>
      <c r="H21" s="1"/>
      <c r="I21" s="1"/>
      <c r="J21" s="1"/>
      <c r="K21" s="1"/>
      <c r="L21" s="1"/>
      <c r="M21" s="1"/>
      <c r="N21" s="1"/>
    </row>
    <row r="22" spans="1:14" ht="18" customHeight="1">
      <c r="A22" s="1"/>
      <c r="B22" s="1"/>
      <c r="C22" s="1"/>
      <c r="D22" s="1"/>
      <c r="E22" s="1"/>
      <c r="F22" s="1"/>
      <c r="G22" s="1"/>
      <c r="H22" s="1"/>
      <c r="I22" s="1"/>
      <c r="J22" s="1"/>
      <c r="K22" s="1"/>
      <c r="L22" s="1"/>
      <c r="M22" s="1"/>
      <c r="N22" s="1"/>
    </row>
    <row r="23" spans="1:14" ht="18" customHeight="1">
      <c r="A23" s="1"/>
      <c r="B23" s="1"/>
      <c r="C23" s="1"/>
      <c r="D23" s="1"/>
      <c r="E23" s="1"/>
      <c r="F23" s="1"/>
      <c r="G23" s="1"/>
      <c r="H23" s="1"/>
      <c r="I23" s="1"/>
      <c r="J23" s="1"/>
      <c r="K23" s="1"/>
      <c r="L23" s="1"/>
      <c r="M23" s="1"/>
      <c r="N23" s="1"/>
    </row>
    <row r="24" spans="1:14" ht="18" customHeight="1">
      <c r="A24" s="1"/>
      <c r="B24" s="1"/>
      <c r="C24" s="1"/>
      <c r="D24" s="1"/>
      <c r="E24" s="1"/>
      <c r="F24" s="1"/>
      <c r="G24" s="1"/>
      <c r="H24" s="1"/>
      <c r="I24" s="1"/>
      <c r="J24" s="1"/>
      <c r="K24" s="1"/>
      <c r="L24" s="1"/>
      <c r="M24" s="1"/>
      <c r="N24" s="1"/>
    </row>
    <row r="25" spans="1:14" ht="18" customHeight="1">
      <c r="A25" s="1"/>
      <c r="B25" s="1"/>
      <c r="C25" s="1"/>
      <c r="D25" s="1"/>
      <c r="E25" s="1"/>
      <c r="F25" s="1"/>
      <c r="G25" s="1"/>
      <c r="H25" s="1"/>
      <c r="I25" s="1"/>
      <c r="J25" s="1"/>
      <c r="K25" s="1"/>
      <c r="L25" s="1"/>
      <c r="M25" s="1"/>
      <c r="N25" s="1"/>
    </row>
    <row r="26" spans="1:14" ht="18" customHeight="1">
      <c r="A26" s="1"/>
      <c r="B26" s="1"/>
      <c r="C26" s="1"/>
      <c r="D26" s="1"/>
      <c r="E26" s="1"/>
      <c r="F26" s="1"/>
      <c r="G26" s="1"/>
      <c r="H26" s="1"/>
      <c r="I26" s="1"/>
      <c r="J26" s="1"/>
      <c r="K26" s="1"/>
      <c r="L26" s="1"/>
      <c r="M26" s="1"/>
      <c r="N26" s="1"/>
    </row>
    <row r="27" spans="1:14" ht="18" customHeight="1">
      <c r="A27" s="1"/>
      <c r="B27" s="1"/>
      <c r="C27" s="1"/>
      <c r="D27" s="1"/>
      <c r="E27" s="1"/>
      <c r="F27" s="1"/>
      <c r="G27" s="1"/>
      <c r="H27" s="1"/>
      <c r="I27" s="1"/>
      <c r="J27" s="1"/>
      <c r="K27" s="1"/>
      <c r="L27" s="1"/>
      <c r="M27" s="1"/>
      <c r="N27" s="1"/>
    </row>
    <row r="28" spans="1:14" ht="18" customHeight="1">
      <c r="A28" s="1"/>
      <c r="B28" s="1"/>
      <c r="C28" s="1"/>
      <c r="D28" s="1"/>
      <c r="E28" s="1"/>
      <c r="F28" s="1"/>
      <c r="G28" s="1"/>
      <c r="H28" s="1"/>
      <c r="I28" s="1"/>
      <c r="J28" s="1"/>
      <c r="K28" s="1"/>
      <c r="L28" s="1"/>
      <c r="M28" s="1"/>
      <c r="N28" s="1"/>
    </row>
    <row r="29" spans="1:14" ht="18" customHeight="1">
      <c r="A29" s="1"/>
      <c r="B29" s="1"/>
      <c r="C29" s="1"/>
      <c r="D29" s="1"/>
      <c r="E29" s="1"/>
      <c r="F29" s="1"/>
      <c r="G29" s="1"/>
      <c r="H29" s="1"/>
      <c r="I29" s="1"/>
      <c r="J29" s="1"/>
      <c r="K29" s="1"/>
      <c r="L29" s="1"/>
      <c r="M29" s="1"/>
      <c r="N29" s="1"/>
    </row>
    <row r="30" spans="1:14" ht="18" customHeight="1">
      <c r="A30" s="1"/>
      <c r="B30" s="1"/>
      <c r="C30" s="1"/>
      <c r="D30" s="1"/>
      <c r="E30" s="1"/>
      <c r="F30" s="1"/>
      <c r="G30" s="1"/>
      <c r="H30" s="1"/>
      <c r="I30" s="1"/>
      <c r="J30" s="1"/>
      <c r="K30" s="1"/>
      <c r="L30" s="1"/>
      <c r="M30" s="1"/>
      <c r="N30" s="1"/>
    </row>
    <row r="31" spans="1:14" ht="18" customHeight="1">
      <c r="A31" s="1"/>
      <c r="B31" s="1"/>
      <c r="C31" s="1"/>
      <c r="D31" s="1"/>
      <c r="E31" s="1"/>
      <c r="F31" s="1"/>
      <c r="G31" s="1"/>
      <c r="H31" s="1"/>
      <c r="I31" s="1"/>
      <c r="J31" s="1"/>
      <c r="K31" s="1"/>
      <c r="L31" s="1"/>
      <c r="M31" s="1"/>
      <c r="N31" s="1"/>
    </row>
    <row r="32" spans="1:14" ht="18" customHeight="1">
      <c r="A32" s="1"/>
      <c r="B32" s="1"/>
      <c r="C32" s="1"/>
      <c r="D32" s="1"/>
      <c r="E32" s="1"/>
      <c r="F32" s="1"/>
      <c r="G32" s="1"/>
      <c r="H32" s="1"/>
      <c r="I32" s="1"/>
      <c r="J32" s="1"/>
      <c r="K32" s="1"/>
      <c r="L32" s="1"/>
      <c r="M32" s="1"/>
      <c r="N32" s="1"/>
    </row>
    <row r="33" spans="1:14" ht="18" customHeight="1">
      <c r="A33" s="1"/>
      <c r="B33" s="1"/>
      <c r="C33" s="1"/>
      <c r="D33" s="1"/>
      <c r="E33" s="1"/>
      <c r="F33" s="1"/>
      <c r="G33" s="1"/>
      <c r="H33" s="1"/>
      <c r="I33" s="1"/>
      <c r="J33" s="1"/>
      <c r="K33" s="1"/>
      <c r="L33" s="1"/>
      <c r="M33" s="1"/>
      <c r="N33" s="1"/>
    </row>
    <row r="34" spans="1:14" ht="18" customHeight="1">
      <c r="A34" s="1"/>
      <c r="B34" s="1"/>
      <c r="C34" s="1"/>
      <c r="D34" s="1"/>
      <c r="E34" s="1"/>
      <c r="F34" s="1"/>
      <c r="G34" s="1"/>
      <c r="H34" s="1"/>
      <c r="I34" s="1"/>
      <c r="J34" s="1"/>
      <c r="K34" s="1"/>
      <c r="L34" s="1"/>
      <c r="M34" s="1"/>
      <c r="N34" s="1"/>
    </row>
    <row r="35" spans="1:14" ht="18" customHeight="1">
      <c r="A35" s="1"/>
      <c r="B35" s="1"/>
      <c r="C35" s="1"/>
      <c r="D35" s="1"/>
      <c r="E35" s="1"/>
      <c r="F35" s="1"/>
      <c r="G35" s="1"/>
      <c r="H35" s="1"/>
      <c r="I35" s="1"/>
      <c r="J35" s="1"/>
      <c r="K35" s="1"/>
      <c r="L35" s="1"/>
      <c r="M35" s="1"/>
      <c r="N35" s="1"/>
    </row>
    <row r="36" spans="1:14" ht="18" customHeight="1">
      <c r="A36" s="1"/>
      <c r="B36" s="1"/>
      <c r="C36" s="1"/>
      <c r="D36" s="1"/>
      <c r="E36" s="1"/>
      <c r="F36" s="1"/>
      <c r="G36" s="1"/>
      <c r="H36" s="1"/>
      <c r="I36" s="1"/>
      <c r="J36" s="1"/>
      <c r="K36" s="1"/>
      <c r="L36" s="1"/>
      <c r="M36" s="1"/>
      <c r="N36" s="1"/>
    </row>
    <row r="37" spans="1:14" ht="18" customHeight="1">
      <c r="A37" s="1"/>
      <c r="B37" s="1"/>
      <c r="C37" s="1"/>
      <c r="D37" s="1"/>
      <c r="E37" s="1"/>
      <c r="F37" s="1"/>
      <c r="G37" s="1"/>
      <c r="H37" s="1"/>
      <c r="I37" s="1"/>
      <c r="J37" s="1"/>
      <c r="K37" s="1"/>
      <c r="L37" s="1"/>
      <c r="M37" s="1"/>
      <c r="N37" s="1"/>
    </row>
    <row r="38" spans="1:14" ht="18" customHeight="1">
      <c r="A38" s="1"/>
      <c r="B38" s="1"/>
      <c r="C38" s="1"/>
      <c r="D38" s="1"/>
      <c r="E38" s="1"/>
      <c r="F38" s="1"/>
      <c r="G38" s="1"/>
      <c r="H38" s="1"/>
      <c r="I38" s="1"/>
      <c r="J38" s="1"/>
      <c r="K38" s="1"/>
      <c r="L38" s="1"/>
      <c r="M38" s="1"/>
      <c r="N38" s="1"/>
    </row>
    <row r="39" spans="1:14" ht="18" customHeight="1">
      <c r="A39" s="1"/>
      <c r="B39" s="1"/>
      <c r="C39" s="1"/>
      <c r="D39" s="1"/>
      <c r="E39" s="1"/>
      <c r="F39" s="1"/>
      <c r="G39" s="1"/>
      <c r="H39" s="1"/>
      <c r="I39" s="1"/>
      <c r="J39" s="1"/>
      <c r="K39" s="1"/>
      <c r="L39" s="1"/>
      <c r="M39" s="1"/>
      <c r="N39" s="1"/>
    </row>
    <row r="40" spans="1:14" ht="18" customHeight="1">
      <c r="A40" s="1"/>
      <c r="B40" s="1"/>
      <c r="C40" s="1"/>
      <c r="D40" s="1"/>
      <c r="E40" s="1"/>
      <c r="F40" s="1"/>
      <c r="G40" s="1"/>
      <c r="H40" s="1"/>
      <c r="I40" s="1"/>
      <c r="J40" s="1"/>
      <c r="K40" s="1"/>
      <c r="L40" s="1"/>
      <c r="M40" s="1"/>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4">
    <mergeCell ref="B1:H2"/>
    <mergeCell ref="B4:H4"/>
    <mergeCell ref="B11:H11"/>
    <mergeCell ref="B16:H16"/>
  </mergeCells>
  <phoneticPr fontId="1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20"/>
  <sheetViews>
    <sheetView showGridLines="0" workbookViewId="0"/>
  </sheetViews>
  <sheetFormatPr defaultRowHeight="14.25"/>
  <cols>
    <col min="1" max="1" width="3" customWidth="1"/>
    <col min="2" max="2" width="39" customWidth="1"/>
    <col min="3" max="4" width="13" customWidth="1"/>
    <col min="5" max="5" width="12.75" customWidth="1"/>
    <col min="6" max="10" width="13" customWidth="1"/>
    <col min="11" max="11" width="3" customWidth="1"/>
    <col min="12" max="14" width="20" customWidth="1"/>
  </cols>
  <sheetData>
    <row r="1" spans="1:14" ht="18" customHeight="1">
      <c r="A1" s="1"/>
      <c r="B1" s="90" t="s">
        <v>289</v>
      </c>
      <c r="C1" s="90" t="s">
        <v>289</v>
      </c>
      <c r="D1" s="90" t="s">
        <v>289</v>
      </c>
      <c r="E1" s="90" t="s">
        <v>289</v>
      </c>
      <c r="F1" s="90" t="s">
        <v>289</v>
      </c>
      <c r="G1" s="90" t="s">
        <v>289</v>
      </c>
      <c r="H1" s="90" t="s">
        <v>289</v>
      </c>
      <c r="I1" s="1"/>
      <c r="J1" s="1"/>
      <c r="K1" s="1"/>
      <c r="L1" s="1"/>
      <c r="M1" s="1"/>
      <c r="N1" s="1"/>
    </row>
    <row r="2" spans="1:14" ht="18" customHeight="1">
      <c r="A2" s="1"/>
      <c r="B2" s="90" t="s">
        <v>289</v>
      </c>
      <c r="C2" s="90" t="s">
        <v>289</v>
      </c>
      <c r="D2" s="90" t="s">
        <v>289</v>
      </c>
      <c r="E2" s="90" t="s">
        <v>289</v>
      </c>
      <c r="F2" s="90" t="s">
        <v>289</v>
      </c>
      <c r="G2" s="90" t="s">
        <v>289</v>
      </c>
      <c r="H2" s="90" t="s">
        <v>289</v>
      </c>
      <c r="I2" s="1"/>
      <c r="J2" s="1"/>
      <c r="K2" s="1"/>
      <c r="L2" s="1"/>
      <c r="M2" s="1"/>
      <c r="N2" s="1"/>
    </row>
    <row r="3" spans="1:14" ht="18" customHeight="1">
      <c r="A3" s="1"/>
      <c r="B3" s="1"/>
      <c r="C3" s="1"/>
      <c r="D3" s="1"/>
      <c r="E3" s="1"/>
      <c r="F3" s="1"/>
      <c r="G3" s="1"/>
      <c r="H3" s="1"/>
      <c r="I3" s="1"/>
      <c r="J3" s="1"/>
      <c r="K3" s="1"/>
      <c r="L3" s="1"/>
      <c r="M3" s="1"/>
      <c r="N3" s="1"/>
    </row>
    <row r="4" spans="1:14" ht="18" customHeight="1">
      <c r="A4" s="1"/>
      <c r="B4" s="34" t="s">
        <v>142</v>
      </c>
      <c r="C4" s="16">
        <v>46387</v>
      </c>
      <c r="D4" s="16">
        <v>46752</v>
      </c>
      <c r="E4" s="16">
        <v>47118</v>
      </c>
      <c r="F4" s="16">
        <v>47483</v>
      </c>
      <c r="G4" s="16">
        <v>47848</v>
      </c>
      <c r="H4" s="1"/>
      <c r="I4" s="1"/>
      <c r="J4" s="1"/>
      <c r="K4" s="1"/>
      <c r="L4" s="1"/>
      <c r="M4" s="1"/>
      <c r="N4" s="1"/>
    </row>
    <row r="5" spans="1:14" ht="18" customHeight="1">
      <c r="A5" s="1"/>
      <c r="B5" s="1"/>
      <c r="C5" s="1"/>
      <c r="D5" s="1"/>
      <c r="E5" s="1"/>
      <c r="F5" s="1"/>
      <c r="G5" s="1"/>
      <c r="H5" s="1"/>
      <c r="I5" s="1"/>
      <c r="J5" s="1"/>
      <c r="K5" s="1"/>
      <c r="L5" s="1"/>
      <c r="M5" s="1"/>
      <c r="N5" s="1"/>
    </row>
    <row r="6" spans="1:14" ht="18" customHeight="1">
      <c r="A6" s="1"/>
      <c r="B6" s="97" t="s">
        <v>290</v>
      </c>
      <c r="C6" s="97" t="s">
        <v>290</v>
      </c>
      <c r="D6" s="97" t="s">
        <v>290</v>
      </c>
      <c r="E6" s="97" t="s">
        <v>290</v>
      </c>
      <c r="F6" s="97" t="s">
        <v>290</v>
      </c>
      <c r="G6" s="97" t="s">
        <v>290</v>
      </c>
      <c r="H6" s="1"/>
      <c r="I6" s="1"/>
      <c r="J6" s="1"/>
      <c r="K6" s="1"/>
      <c r="L6" s="1"/>
      <c r="M6" s="1"/>
      <c r="N6" s="1"/>
    </row>
    <row r="7" spans="1:14" ht="18" customHeight="1">
      <c r="A7" s="1"/>
      <c r="B7" s="1" t="s">
        <v>147</v>
      </c>
      <c r="C7" s="9">
        <f>영업실적추정!F7</f>
        <v>3536680.6227900004</v>
      </c>
      <c r="D7" s="9">
        <f>영업실적추정!G7</f>
        <v>3723472.2992012003</v>
      </c>
      <c r="E7" s="9">
        <f>영업실적추정!H7</f>
        <v>3897949.1684061242</v>
      </c>
      <c r="F7" s="9">
        <f>영업실적추정!I7</f>
        <v>4070346.429183838</v>
      </c>
      <c r="G7" s="9">
        <f>영업실적추정!J7</f>
        <v>4224759.4651694745</v>
      </c>
      <c r="H7" s="1"/>
      <c r="I7" s="1"/>
      <c r="J7" s="1"/>
      <c r="K7" s="1"/>
      <c r="L7" s="1"/>
      <c r="M7" s="1"/>
      <c r="N7" s="1"/>
    </row>
    <row r="8" spans="1:14" ht="18" customHeight="1">
      <c r="A8" s="1"/>
      <c r="B8" s="1" t="s">
        <v>291</v>
      </c>
      <c r="C8" s="9">
        <f>영업실적추정!F17+'FDD 조정'!G15</f>
        <v>600717.31249708997</v>
      </c>
      <c r="D8" s="9">
        <f>영업실적추정!G17+'FDD 조정'!H15</f>
        <v>643829.10606100876</v>
      </c>
      <c r="E8" s="9">
        <f>영업실적추정!H17+'FDD 조정'!I15</f>
        <v>689779.87797629018</v>
      </c>
      <c r="F8" s="9">
        <f>영업실적추정!I17+'FDD 조정'!J15</f>
        <v>724536.93682390719</v>
      </c>
      <c r="G8" s="9">
        <f>영업실적추정!J17+'FDD 조정'!K15</f>
        <v>760626.38919567503</v>
      </c>
      <c r="H8" s="1"/>
      <c r="I8" s="1"/>
      <c r="J8" s="1"/>
      <c r="K8" s="1"/>
      <c r="L8" s="1"/>
      <c r="M8" s="1"/>
      <c r="N8" s="1"/>
    </row>
    <row r="9" spans="1:14" ht="18" customHeight="1">
      <c r="A9" s="1"/>
      <c r="B9" s="1" t="s">
        <v>102</v>
      </c>
      <c r="C9" s="10">
        <f>영업실적추정!F22</f>
        <v>0.255</v>
      </c>
      <c r="D9" s="10">
        <f>영업실적추정!G22</f>
        <v>0.255</v>
      </c>
      <c r="E9" s="10">
        <f>영업실적추정!H22</f>
        <v>0.255</v>
      </c>
      <c r="F9" s="10">
        <f>영업실적추정!I22</f>
        <v>0.255</v>
      </c>
      <c r="G9" s="10">
        <f>영업실적추정!J22</f>
        <v>0.255</v>
      </c>
      <c r="H9" s="1"/>
      <c r="I9" s="1"/>
      <c r="J9" s="1"/>
      <c r="K9" s="1"/>
      <c r="L9" s="1"/>
      <c r="M9" s="1"/>
      <c r="N9" s="1"/>
    </row>
    <row r="10" spans="1:14" ht="18" customHeight="1">
      <c r="A10" s="1"/>
      <c r="B10" s="1" t="s">
        <v>292</v>
      </c>
      <c r="C10" s="21">
        <f>-C8*C9</f>
        <v>-153182.91468675795</v>
      </c>
      <c r="D10" s="21">
        <f>-D8*D9</f>
        <v>-164176.42204555724</v>
      </c>
      <c r="E10" s="21">
        <f>-E8*E9</f>
        <v>-175893.86888395401</v>
      </c>
      <c r="F10" s="21">
        <f>-F8*F9</f>
        <v>-184756.91889009633</v>
      </c>
      <c r="G10" s="21">
        <f>-G8*G9</f>
        <v>-193959.72924489714</v>
      </c>
      <c r="H10" s="1"/>
      <c r="I10" s="1"/>
      <c r="J10" s="1"/>
      <c r="K10" s="1"/>
      <c r="L10" s="1"/>
      <c r="M10" s="1"/>
      <c r="N10" s="1"/>
    </row>
    <row r="11" spans="1:14" ht="18" customHeight="1">
      <c r="A11" s="1"/>
      <c r="B11" s="1" t="s">
        <v>293</v>
      </c>
      <c r="C11" s="21">
        <f>SUM(C8,C10)</f>
        <v>447534.39781033201</v>
      </c>
      <c r="D11" s="21">
        <f>SUM(D8,D10)</f>
        <v>479652.68401545152</v>
      </c>
      <c r="E11" s="21">
        <f>SUM(E8,E10)</f>
        <v>513886.00909233617</v>
      </c>
      <c r="F11" s="21">
        <f>SUM(F8,F10)</f>
        <v>539780.01793381083</v>
      </c>
      <c r="G11" s="21">
        <f>SUM(G8,G10)</f>
        <v>566666.65995077789</v>
      </c>
      <c r="H11" s="1"/>
      <c r="I11" s="1"/>
      <c r="J11" s="1"/>
      <c r="K11" s="1"/>
      <c r="L11" s="1"/>
      <c r="M11" s="1"/>
      <c r="N11" s="1"/>
    </row>
    <row r="12" spans="1:14" ht="18" customHeight="1">
      <c r="A12" s="1"/>
      <c r="B12" s="1" t="s">
        <v>294</v>
      </c>
      <c r="C12" s="9">
        <f>'Capex_D&amp;A'!F8+'FDD 조정'!G16</f>
        <v>176617.40013950004</v>
      </c>
      <c r="D12" s="9">
        <f>'Capex_D&amp;A'!G8+'FDD 조정'!H16</f>
        <v>193403.92855846242</v>
      </c>
      <c r="E12" s="9">
        <f>'Capex_D&amp;A'!H8+'FDD 조정'!I16</f>
        <v>210272.6240939307</v>
      </c>
      <c r="F12" s="9">
        <f>'Capex_D&amp;A'!I8+'FDD 조정'!J16</f>
        <v>215511.72974674343</v>
      </c>
      <c r="G12" s="9">
        <f>'Capex_D&amp;A'!J8+'FDD 조정'!K16</f>
        <v>215246.10172364319</v>
      </c>
      <c r="H12" s="1"/>
      <c r="I12" s="1"/>
      <c r="J12" s="1"/>
      <c r="K12" s="1"/>
      <c r="L12" s="1"/>
      <c r="M12" s="1"/>
      <c r="N12" s="1"/>
    </row>
    <row r="13" spans="1:14" ht="18" customHeight="1">
      <c r="A13" s="1"/>
      <c r="B13" s="1" t="s">
        <v>295</v>
      </c>
      <c r="C13" s="9">
        <f>-'Capex_D&amp;A'!F15</f>
        <v>-349053.33376936201</v>
      </c>
      <c r="D13" s="9">
        <f>-'Capex_D&amp;A'!G15</f>
        <v>-351705.4482010185</v>
      </c>
      <c r="E13" s="9">
        <f>-'Capex_D&amp;A'!H15</f>
        <v>-201913.76692343724</v>
      </c>
      <c r="F13" s="9">
        <f>-'Capex_D&amp;A'!I15</f>
        <v>-218984.6378900905</v>
      </c>
      <c r="G13" s="9">
        <f>-'Capex_D&amp;A'!J15</f>
        <v>-231516.81869128719</v>
      </c>
      <c r="H13" s="1"/>
      <c r="I13" s="1"/>
      <c r="J13" s="1"/>
      <c r="K13" s="1"/>
      <c r="L13" s="1"/>
      <c r="M13" s="1"/>
      <c r="N13" s="1"/>
    </row>
    <row r="14" spans="1:14" ht="18" customHeight="1">
      <c r="A14" s="1"/>
      <c r="B14" s="1" t="s">
        <v>267</v>
      </c>
      <c r="C14" s="9">
        <f>-NWC!F21</f>
        <v>-6047.3894108562381</v>
      </c>
      <c r="D14" s="9">
        <f>-NWC!G21</f>
        <v>-2657.6166209342191</v>
      </c>
      <c r="E14" s="9">
        <f>-NWC!H21</f>
        <v>10130.234613674344</v>
      </c>
      <c r="F14" s="9">
        <f>-NWC!I21</f>
        <v>-1292.7734198307153</v>
      </c>
      <c r="G14" s="9">
        <f>-NWC!J21</f>
        <v>12524.6640326138</v>
      </c>
      <c r="H14" s="1"/>
      <c r="I14" s="1"/>
      <c r="J14" s="1"/>
      <c r="K14" s="1"/>
      <c r="L14" s="1"/>
      <c r="M14" s="1"/>
      <c r="N14" s="1"/>
    </row>
    <row r="15" spans="1:14" ht="18" customHeight="1">
      <c r="A15" s="1"/>
      <c r="B15" s="28" t="s">
        <v>290</v>
      </c>
      <c r="C15" s="35">
        <f>SUM(C11:C14)</f>
        <v>269051.0747696138</v>
      </c>
      <c r="D15" s="35">
        <f>SUM(D11:D14)</f>
        <v>318693.54775196128</v>
      </c>
      <c r="E15" s="35">
        <f>SUM(E11:E14)</f>
        <v>532375.10087650397</v>
      </c>
      <c r="F15" s="35">
        <f>SUM(F11:F14)</f>
        <v>535014.3363706331</v>
      </c>
      <c r="G15" s="35">
        <f>SUM(G11:G14)</f>
        <v>562920.60701574781</v>
      </c>
      <c r="H15" s="1"/>
      <c r="I15" s="1"/>
      <c r="J15" s="1"/>
      <c r="K15" s="1"/>
      <c r="L15" s="1"/>
      <c r="M15" s="1"/>
      <c r="N15" s="1"/>
    </row>
    <row r="16" spans="1:14" ht="18" customHeight="1">
      <c r="A16" s="1"/>
      <c r="B16" s="1" t="s">
        <v>296</v>
      </c>
      <c r="C16" s="23">
        <v>1</v>
      </c>
      <c r="D16" s="23">
        <v>2</v>
      </c>
      <c r="E16" s="23">
        <v>3</v>
      </c>
      <c r="F16" s="23">
        <v>4</v>
      </c>
      <c r="G16" s="23">
        <v>5</v>
      </c>
      <c r="H16" s="1"/>
      <c r="I16" s="1"/>
      <c r="J16" s="1"/>
      <c r="K16" s="1"/>
      <c r="L16" s="1"/>
      <c r="M16" s="1"/>
      <c r="N16" s="1"/>
    </row>
    <row r="17" spans="1:14" ht="18" customHeight="1">
      <c r="A17" s="1"/>
      <c r="B17" s="1" t="s">
        <v>297</v>
      </c>
      <c r="C17" s="38">
        <f>1/(1+WACC!$C$20)^C16</f>
        <v>0.91342865722562028</v>
      </c>
      <c r="D17" s="38">
        <f>1/(1+WACC!$C$20)^D16</f>
        <v>0.83435191184099977</v>
      </c>
      <c r="E17" s="38">
        <f>1/(1+WACC!$C$20)^E16</f>
        <v>0.7621209464865536</v>
      </c>
      <c r="F17" s="38">
        <f>1/(1+WACC!$C$20)^F16</f>
        <v>0.69614311279273156</v>
      </c>
      <c r="G17" s="38">
        <f>1/(1+WACC!$C$20)^G16</f>
        <v>0.63587706875512828</v>
      </c>
      <c r="H17" s="1"/>
      <c r="I17" s="1"/>
      <c r="J17" s="1"/>
      <c r="K17" s="1"/>
      <c r="L17" s="1"/>
      <c r="M17" s="1"/>
      <c r="N17" s="1"/>
    </row>
    <row r="18" spans="1:14" ht="18" customHeight="1">
      <c r="A18" s="1"/>
      <c r="B18" s="28" t="s">
        <v>298</v>
      </c>
      <c r="C18" s="35">
        <f>C15*C17</f>
        <v>245758.96195191829</v>
      </c>
      <c r="D18" s="35">
        <f>D15*D17</f>
        <v>265902.57085823984</v>
      </c>
      <c r="E18" s="35">
        <f>E15*E17</f>
        <v>405734.21576587565</v>
      </c>
      <c r="F18" s="35">
        <f>F15*F17</f>
        <v>372446.54550979007</v>
      </c>
      <c r="G18" s="35">
        <f>G15*G17</f>
        <v>357948.30553103122</v>
      </c>
      <c r="H18" s="1"/>
      <c r="I18" s="1"/>
      <c r="J18" s="1"/>
      <c r="K18" s="1"/>
      <c r="L18" s="1"/>
      <c r="M18" s="1"/>
      <c r="N18" s="1"/>
    </row>
    <row r="19" spans="1:14" ht="18" customHeight="1">
      <c r="A19" s="1"/>
      <c r="B19" s="1" t="s">
        <v>299</v>
      </c>
      <c r="C19" s="18">
        <f>C15/C7</f>
        <v>7.6074461752604058E-2</v>
      </c>
      <c r="D19" s="18">
        <f>D15/D7</f>
        <v>8.559041726195489E-2</v>
      </c>
      <c r="E19" s="18">
        <f>E15/E7</f>
        <v>0.13657825637941623</v>
      </c>
      <c r="F19" s="18">
        <f>F15/F7</f>
        <v>0.13144196585692364</v>
      </c>
      <c r="G19" s="18">
        <f>G15/G7</f>
        <v>0.13324323234415583</v>
      </c>
      <c r="H19" s="1"/>
      <c r="I19" s="1"/>
      <c r="J19" s="1"/>
      <c r="K19" s="1"/>
      <c r="L19" s="1"/>
      <c r="M19" s="1"/>
      <c r="N19" s="1"/>
    </row>
    <row r="20" spans="1:14" ht="18" customHeight="1">
      <c r="A20" s="1"/>
      <c r="B20" s="1"/>
      <c r="C20" s="1"/>
      <c r="D20" s="1"/>
      <c r="E20" s="1"/>
      <c r="F20" s="1"/>
      <c r="G20" s="1"/>
      <c r="H20" s="1"/>
      <c r="I20" s="1"/>
      <c r="J20" s="1"/>
      <c r="K20" s="1"/>
      <c r="L20" s="1"/>
      <c r="M20" s="1"/>
      <c r="N20" s="1"/>
    </row>
    <row r="21" spans="1:14" ht="18" customHeight="1">
      <c r="A21" s="1"/>
      <c r="B21" s="1"/>
      <c r="C21" s="1"/>
      <c r="D21" s="1"/>
      <c r="E21" s="1"/>
      <c r="F21" s="1"/>
      <c r="G21" s="1"/>
      <c r="H21" s="1"/>
      <c r="I21" s="1"/>
      <c r="J21" s="1"/>
      <c r="K21" s="1"/>
      <c r="L21" s="1"/>
      <c r="M21" s="1"/>
      <c r="N21" s="1"/>
    </row>
    <row r="22" spans="1:14" ht="18" customHeight="1">
      <c r="A22" s="1"/>
      <c r="B22" s="97" t="s">
        <v>300</v>
      </c>
      <c r="C22" s="97" t="s">
        <v>300</v>
      </c>
      <c r="D22" s="97" t="s">
        <v>300</v>
      </c>
      <c r="E22" s="97" t="s">
        <v>300</v>
      </c>
      <c r="F22" s="97" t="s">
        <v>300</v>
      </c>
      <c r="G22" s="97" t="s">
        <v>300</v>
      </c>
      <c r="H22" s="1"/>
      <c r="I22" s="1"/>
      <c r="J22" s="1"/>
      <c r="K22" s="1"/>
      <c r="L22" s="1"/>
      <c r="M22" s="1"/>
      <c r="N22" s="1"/>
    </row>
    <row r="23" spans="1:14" ht="18" customHeight="1">
      <c r="A23" s="1"/>
      <c r="B23" s="1" t="s">
        <v>288</v>
      </c>
      <c r="C23" s="10">
        <f>WACC!C20</f>
        <v>9.4776249999999992E-2</v>
      </c>
      <c r="D23" s="1"/>
      <c r="E23" s="5" t="s">
        <v>301</v>
      </c>
      <c r="F23" s="5" t="s">
        <v>301</v>
      </c>
      <c r="G23" s="5" t="s">
        <v>301</v>
      </c>
      <c r="H23" s="1"/>
      <c r="I23" s="1"/>
      <c r="J23" s="1"/>
      <c r="K23" s="1"/>
      <c r="L23" s="1"/>
      <c r="M23" s="1"/>
      <c r="N23" s="1"/>
    </row>
    <row r="24" spans="1:14" ht="18" customHeight="1">
      <c r="A24" s="1"/>
      <c r="B24" s="1" t="s">
        <v>135</v>
      </c>
      <c r="C24" s="10">
        <f>가정!C37</f>
        <v>0.02</v>
      </c>
      <c r="D24" s="1"/>
      <c r="E24" s="5" t="s">
        <v>301</v>
      </c>
      <c r="F24" s="5" t="s">
        <v>301</v>
      </c>
      <c r="G24" s="5" t="s">
        <v>301</v>
      </c>
      <c r="H24" s="1"/>
      <c r="I24" s="1"/>
      <c r="J24" s="1"/>
      <c r="K24" s="1"/>
      <c r="L24" s="1"/>
      <c r="M24" s="1"/>
      <c r="N24" s="1"/>
    </row>
    <row r="25" spans="1:14" ht="18" customHeight="1">
      <c r="A25" s="1"/>
      <c r="B25" s="1" t="s">
        <v>302</v>
      </c>
      <c r="C25" s="21">
        <f>G15</f>
        <v>562920.60701574781</v>
      </c>
      <c r="D25" s="1"/>
      <c r="E25" s="5" t="s">
        <v>301</v>
      </c>
      <c r="F25" s="5" t="s">
        <v>301</v>
      </c>
      <c r="G25" s="5" t="s">
        <v>301</v>
      </c>
      <c r="H25" s="1"/>
      <c r="I25" s="1"/>
      <c r="J25" s="1"/>
      <c r="K25" s="1"/>
      <c r="L25" s="1"/>
      <c r="M25" s="1"/>
      <c r="N25" s="1"/>
    </row>
    <row r="26" spans="1:14" ht="18" customHeight="1">
      <c r="A26" s="1"/>
      <c r="B26" s="1" t="s">
        <v>303</v>
      </c>
      <c r="C26" s="21">
        <f>C25*(1+C24)/(C23-C24)</f>
        <v>7678628.162766424</v>
      </c>
      <c r="D26" s="1"/>
      <c r="E26" s="5" t="s">
        <v>301</v>
      </c>
      <c r="F26" s="5" t="s">
        <v>301</v>
      </c>
      <c r="G26" s="5" t="s">
        <v>301</v>
      </c>
      <c r="H26" s="1"/>
      <c r="I26" s="1"/>
      <c r="J26" s="1"/>
      <c r="K26" s="1"/>
      <c r="L26" s="1"/>
      <c r="M26" s="1"/>
      <c r="N26" s="1"/>
    </row>
    <row r="27" spans="1:14" ht="18" customHeight="1">
      <c r="A27" s="1"/>
      <c r="B27" s="1" t="s">
        <v>304</v>
      </c>
      <c r="C27" s="21">
        <f>C26/(1+C23)^5</f>
        <v>4882663.5682004895</v>
      </c>
      <c r="D27" s="1"/>
      <c r="E27" s="5" t="s">
        <v>301</v>
      </c>
      <c r="F27" s="5" t="s">
        <v>301</v>
      </c>
      <c r="G27" s="5" t="s">
        <v>301</v>
      </c>
      <c r="H27" s="1"/>
      <c r="I27" s="1"/>
      <c r="J27" s="1"/>
      <c r="K27" s="1"/>
      <c r="L27" s="1"/>
      <c r="M27" s="1"/>
      <c r="N27" s="1"/>
    </row>
    <row r="28" spans="1:14" ht="18" customHeight="1">
      <c r="A28" s="1"/>
      <c r="B28" s="1" t="s">
        <v>305</v>
      </c>
      <c r="C28" s="21">
        <f>SUM(C18:G18)</f>
        <v>1647790.5996168552</v>
      </c>
      <c r="D28" s="1"/>
      <c r="E28" s="5" t="s">
        <v>301</v>
      </c>
      <c r="F28" s="5" t="s">
        <v>301</v>
      </c>
      <c r="G28" s="5" t="s">
        <v>301</v>
      </c>
      <c r="H28" s="1"/>
      <c r="I28" s="1"/>
      <c r="J28" s="1"/>
      <c r="K28" s="1"/>
      <c r="L28" s="1"/>
      <c r="M28" s="1"/>
      <c r="N28" s="1"/>
    </row>
    <row r="29" spans="1:14" ht="18" customHeight="1">
      <c r="A29" s="1"/>
      <c r="B29" s="28" t="s">
        <v>306</v>
      </c>
      <c r="C29" s="35">
        <f>SUM(C27:C28)</f>
        <v>6530454.1678173449</v>
      </c>
      <c r="D29" s="1"/>
      <c r="E29" s="5" t="s">
        <v>301</v>
      </c>
      <c r="F29" s="5" t="s">
        <v>301</v>
      </c>
      <c r="G29" s="5" t="s">
        <v>301</v>
      </c>
      <c r="H29" s="1"/>
      <c r="I29" s="1"/>
      <c r="J29" s="1"/>
      <c r="K29" s="1"/>
      <c r="L29" s="1"/>
      <c r="M29" s="1"/>
      <c r="N29" s="1"/>
    </row>
    <row r="30" spans="1:14" ht="18" customHeight="1">
      <c r="A30" s="1"/>
      <c r="B30" s="1" t="s">
        <v>74</v>
      </c>
      <c r="C30" s="18">
        <f>C27/C29</f>
        <v>0.74767595679067578</v>
      </c>
      <c r="D30" s="1"/>
      <c r="E30" s="5" t="s">
        <v>301</v>
      </c>
      <c r="F30" s="5" t="s">
        <v>301</v>
      </c>
      <c r="G30" s="5" t="s">
        <v>301</v>
      </c>
      <c r="H30" s="1"/>
      <c r="I30" s="1"/>
      <c r="J30" s="1"/>
      <c r="K30" s="1"/>
      <c r="L30" s="1"/>
      <c r="M30" s="1"/>
      <c r="N30" s="1"/>
    </row>
    <row r="31" spans="1:14" ht="18" customHeight="1">
      <c r="A31" s="1"/>
      <c r="B31" s="1"/>
      <c r="C31" s="1"/>
      <c r="D31" s="1"/>
      <c r="E31" s="5" t="s">
        <v>301</v>
      </c>
      <c r="F31" s="5" t="s">
        <v>301</v>
      </c>
      <c r="G31" s="5" t="s">
        <v>301</v>
      </c>
      <c r="H31" s="1"/>
      <c r="I31" s="1"/>
      <c r="J31" s="1"/>
      <c r="K31" s="1"/>
      <c r="L31" s="1"/>
      <c r="M31" s="1"/>
      <c r="N31" s="1"/>
    </row>
    <row r="32" spans="1:14" ht="18" customHeight="1">
      <c r="A32" s="1"/>
      <c r="B32" s="97" t="s">
        <v>307</v>
      </c>
      <c r="C32" s="97" t="s">
        <v>307</v>
      </c>
      <c r="D32" s="97" t="s">
        <v>307</v>
      </c>
      <c r="E32" s="109" t="s">
        <v>301</v>
      </c>
      <c r="F32" s="109" t="s">
        <v>301</v>
      </c>
      <c r="G32" s="109" t="s">
        <v>301</v>
      </c>
      <c r="H32" s="1"/>
      <c r="I32" s="1"/>
      <c r="J32" s="1"/>
      <c r="K32" s="1"/>
      <c r="L32" s="1"/>
      <c r="M32" s="1"/>
      <c r="N32" s="1"/>
    </row>
    <row r="33" spans="1:14" ht="18" customHeight="1">
      <c r="A33" s="1"/>
      <c r="B33" s="1" t="s">
        <v>308</v>
      </c>
      <c r="C33" s="9">
        <f>영업실적추정!J20</f>
        <v>980144.19591931824</v>
      </c>
      <c r="D33" s="1"/>
      <c r="E33" s="5" t="s">
        <v>301</v>
      </c>
      <c r="F33" s="5" t="s">
        <v>301</v>
      </c>
      <c r="G33" s="5" t="s">
        <v>301</v>
      </c>
      <c r="H33" s="1"/>
      <c r="I33" s="1"/>
      <c r="J33" s="1"/>
      <c r="K33" s="1"/>
      <c r="L33" s="1"/>
      <c r="M33" s="1"/>
      <c r="N33" s="1"/>
    </row>
    <row r="34" spans="1:14" ht="18" customHeight="1">
      <c r="A34" s="1"/>
      <c r="B34" s="1" t="s">
        <v>309</v>
      </c>
      <c r="C34" s="12">
        <f>가정!C38</f>
        <v>8</v>
      </c>
      <c r="D34" s="1"/>
      <c r="E34" s="5" t="s">
        <v>301</v>
      </c>
      <c r="F34" s="5" t="s">
        <v>301</v>
      </c>
      <c r="G34" s="5" t="s">
        <v>301</v>
      </c>
      <c r="H34" s="1"/>
      <c r="I34" s="1"/>
      <c r="J34" s="1"/>
      <c r="K34" s="1"/>
      <c r="L34" s="1"/>
      <c r="M34" s="1"/>
      <c r="N34" s="1"/>
    </row>
    <row r="35" spans="1:14" ht="18" customHeight="1">
      <c r="A35" s="1"/>
      <c r="B35" s="1" t="s">
        <v>310</v>
      </c>
      <c r="C35" s="21">
        <f>C33*C34</f>
        <v>7841153.5673545459</v>
      </c>
      <c r="D35" s="1"/>
      <c r="E35" s="5" t="s">
        <v>301</v>
      </c>
      <c r="F35" s="5" t="s">
        <v>301</v>
      </c>
      <c r="G35" s="5" t="s">
        <v>301</v>
      </c>
      <c r="H35" s="1"/>
      <c r="I35" s="1"/>
      <c r="J35" s="1"/>
      <c r="K35" s="1"/>
      <c r="L35" s="1"/>
      <c r="M35" s="1"/>
      <c r="N35" s="1"/>
    </row>
    <row r="36" spans="1:14" ht="18" customHeight="1">
      <c r="A36" s="1"/>
      <c r="B36" s="1" t="s">
        <v>304</v>
      </c>
      <c r="C36" s="21">
        <f>C35/(1+WACC!C20)^5</f>
        <v>4986009.7460682252</v>
      </c>
      <c r="D36" s="1"/>
      <c r="E36" s="5" t="s">
        <v>301</v>
      </c>
      <c r="F36" s="5" t="s">
        <v>301</v>
      </c>
      <c r="G36" s="5" t="s">
        <v>301</v>
      </c>
      <c r="H36" s="1"/>
      <c r="I36" s="1"/>
      <c r="J36" s="1"/>
      <c r="K36" s="1"/>
      <c r="L36" s="1"/>
      <c r="M36" s="1"/>
      <c r="N36" s="1"/>
    </row>
    <row r="37" spans="1:14" ht="18" customHeight="1">
      <c r="A37" s="1"/>
      <c r="B37" s="28" t="s">
        <v>311</v>
      </c>
      <c r="C37" s="35">
        <f>SUM(C36,C28)</f>
        <v>6633800.3456850806</v>
      </c>
      <c r="D37" s="1"/>
      <c r="E37" s="5" t="s">
        <v>301</v>
      </c>
      <c r="F37" s="5" t="s">
        <v>301</v>
      </c>
      <c r="G37" s="5" t="s">
        <v>301</v>
      </c>
      <c r="H37" s="1"/>
      <c r="I37" s="1"/>
      <c r="J37" s="1"/>
      <c r="K37" s="1"/>
      <c r="L37" s="1"/>
      <c r="M37" s="1"/>
      <c r="N37" s="1"/>
    </row>
    <row r="38" spans="1:14" ht="18" customHeight="1">
      <c r="A38" s="1"/>
      <c r="B38" s="1"/>
      <c r="C38" s="1"/>
      <c r="D38" s="1"/>
      <c r="E38" s="1"/>
      <c r="F38" s="1"/>
      <c r="G38" s="1"/>
      <c r="H38" s="1"/>
      <c r="I38" s="1"/>
      <c r="J38" s="1"/>
      <c r="K38" s="1"/>
      <c r="L38" s="1"/>
      <c r="M38" s="1"/>
      <c r="N38" s="1"/>
    </row>
    <row r="39" spans="1:14" ht="18" customHeight="1">
      <c r="A39" s="1"/>
      <c r="B39" s="1"/>
      <c r="C39" s="1"/>
      <c r="D39" s="1"/>
      <c r="E39" s="1"/>
      <c r="F39" s="1"/>
      <c r="G39" s="1"/>
      <c r="H39" s="1"/>
      <c r="I39" s="1"/>
      <c r="J39" s="1"/>
      <c r="K39" s="1"/>
      <c r="L39" s="1"/>
      <c r="M39" s="1"/>
      <c r="N39" s="1"/>
    </row>
    <row r="40" spans="1:14" ht="18" customHeight="1">
      <c r="A40" s="1"/>
      <c r="B40" s="1"/>
      <c r="C40" s="1"/>
      <c r="D40" s="1"/>
      <c r="E40" s="1"/>
      <c r="F40" s="1"/>
      <c r="G40" s="1"/>
      <c r="H40" s="1"/>
      <c r="I40" s="1"/>
      <c r="J40" s="1"/>
      <c r="K40" s="1"/>
      <c r="L40" s="1"/>
      <c r="M40" s="1"/>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4">
    <mergeCell ref="B1:H2"/>
    <mergeCell ref="B6:G6"/>
    <mergeCell ref="B22:G22"/>
    <mergeCell ref="B32:G32"/>
  </mergeCells>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20"/>
  <sheetViews>
    <sheetView showGridLines="0" workbookViewId="0"/>
  </sheetViews>
  <sheetFormatPr defaultRowHeight="14.25"/>
  <cols>
    <col min="1" max="1" width="3" customWidth="1"/>
    <col min="2" max="2" width="48" customWidth="1"/>
    <col min="3" max="10" width="13" customWidth="1"/>
    <col min="11" max="11" width="3" customWidth="1"/>
    <col min="12" max="14" width="20" customWidth="1"/>
  </cols>
  <sheetData>
    <row r="1" spans="1:14" ht="18" customHeight="1">
      <c r="A1" s="1"/>
      <c r="B1" s="90" t="s">
        <v>312</v>
      </c>
      <c r="C1" s="90" t="s">
        <v>313</v>
      </c>
      <c r="D1" s="90" t="s">
        <v>313</v>
      </c>
      <c r="E1" s="90" t="s">
        <v>313</v>
      </c>
      <c r="F1" s="90" t="s">
        <v>313</v>
      </c>
      <c r="G1" s="90" t="s">
        <v>313</v>
      </c>
      <c r="H1" s="90" t="s">
        <v>313</v>
      </c>
      <c r="I1" s="1"/>
      <c r="J1" s="1"/>
      <c r="K1" s="1"/>
      <c r="L1" s="1"/>
      <c r="M1" s="1"/>
      <c r="N1" s="1"/>
    </row>
    <row r="2" spans="1:14" ht="18" customHeight="1">
      <c r="A2" s="1"/>
      <c r="B2" s="90" t="s">
        <v>313</v>
      </c>
      <c r="C2" s="90" t="s">
        <v>313</v>
      </c>
      <c r="D2" s="90" t="s">
        <v>313</v>
      </c>
      <c r="E2" s="90" t="s">
        <v>313</v>
      </c>
      <c r="F2" s="90" t="s">
        <v>313</v>
      </c>
      <c r="G2" s="90" t="s">
        <v>313</v>
      </c>
      <c r="H2" s="90" t="s">
        <v>313</v>
      </c>
      <c r="I2" s="1"/>
      <c r="J2" s="1"/>
      <c r="K2" s="1"/>
      <c r="L2" s="1"/>
      <c r="M2" s="1"/>
      <c r="N2" s="1"/>
    </row>
    <row r="3" spans="1:14" ht="18" customHeight="1">
      <c r="A3" s="1"/>
      <c r="B3" s="1"/>
      <c r="C3" s="1"/>
      <c r="D3" s="1"/>
      <c r="E3" s="1"/>
      <c r="F3" s="1"/>
      <c r="G3" s="1"/>
      <c r="H3" s="1"/>
      <c r="I3" s="1"/>
      <c r="J3" s="1"/>
      <c r="K3" s="1"/>
      <c r="L3" s="1"/>
      <c r="M3" s="1"/>
      <c r="N3" s="1"/>
    </row>
    <row r="4" spans="1:14" ht="18" customHeight="1">
      <c r="A4" s="1"/>
      <c r="B4" s="97" t="s">
        <v>314</v>
      </c>
      <c r="C4" s="97" t="s">
        <v>314</v>
      </c>
      <c r="D4" s="97" t="s">
        <v>314</v>
      </c>
      <c r="E4" s="97" t="s">
        <v>314</v>
      </c>
      <c r="F4" s="97" t="s">
        <v>314</v>
      </c>
      <c r="G4" s="97" t="s">
        <v>314</v>
      </c>
      <c r="H4" s="97" t="s">
        <v>314</v>
      </c>
      <c r="I4" s="1"/>
      <c r="J4" s="1"/>
      <c r="K4" s="1"/>
      <c r="L4" s="1"/>
      <c r="M4" s="1"/>
      <c r="N4" s="1"/>
    </row>
    <row r="5" spans="1:14" ht="18" customHeight="1">
      <c r="A5" s="1"/>
      <c r="B5" s="85" t="s">
        <v>45</v>
      </c>
      <c r="C5" s="86">
        <f>DCF!C29</f>
        <v>6530454.1678173449</v>
      </c>
      <c r="D5" s="1"/>
      <c r="E5" s="1"/>
      <c r="F5" s="1"/>
      <c r="G5" s="1"/>
      <c r="H5" s="1"/>
      <c r="I5" s="1"/>
      <c r="J5" s="1"/>
      <c r="K5" s="1"/>
      <c r="L5" s="1"/>
      <c r="M5" s="1"/>
      <c r="N5" s="1"/>
    </row>
    <row r="6" spans="1:14" ht="18" customHeight="1">
      <c r="A6" s="1"/>
      <c r="B6" s="75"/>
      <c r="C6" s="76"/>
      <c r="D6" s="1"/>
      <c r="E6" s="1"/>
      <c r="F6" s="1"/>
      <c r="G6" s="1"/>
      <c r="H6" s="1"/>
      <c r="I6" s="1"/>
      <c r="J6" s="1"/>
      <c r="K6" s="1"/>
      <c r="L6" s="1"/>
      <c r="M6" s="1"/>
      <c r="N6" s="1"/>
    </row>
    <row r="7" spans="1:14" ht="18" customHeight="1">
      <c r="A7" s="1"/>
      <c r="B7" s="110" t="s">
        <v>51</v>
      </c>
      <c r="C7" s="111" t="s">
        <v>51</v>
      </c>
      <c r="D7" s="97" t="s">
        <v>51</v>
      </c>
      <c r="E7" s="97" t="s">
        <v>51</v>
      </c>
      <c r="F7" s="97" t="s">
        <v>51</v>
      </c>
      <c r="G7" s="97" t="s">
        <v>51</v>
      </c>
      <c r="H7" s="97" t="s">
        <v>51</v>
      </c>
      <c r="I7" s="1"/>
      <c r="J7" s="1"/>
      <c r="K7" s="1"/>
      <c r="L7" s="1"/>
      <c r="M7" s="1"/>
      <c r="N7" s="1"/>
    </row>
    <row r="8" spans="1:14" ht="18" customHeight="1">
      <c r="A8" s="1"/>
      <c r="B8" s="75" t="s">
        <v>315</v>
      </c>
      <c r="C8" s="76">
        <f>'FDD 조정'!E47</f>
        <v>1235817.7165655401</v>
      </c>
      <c r="D8" s="1"/>
      <c r="E8" s="112" t="s">
        <v>316</v>
      </c>
      <c r="F8" s="112"/>
      <c r="G8" s="112"/>
      <c r="H8" s="112"/>
      <c r="I8" s="1"/>
      <c r="J8" s="1"/>
      <c r="K8" s="1"/>
      <c r="L8" s="1"/>
      <c r="M8" s="1"/>
      <c r="N8" s="1"/>
    </row>
    <row r="9" spans="1:14" ht="18" customHeight="1">
      <c r="A9" s="1"/>
      <c r="B9" s="75" t="s">
        <v>317</v>
      </c>
      <c r="C9" s="76">
        <f>-'FDD 조정'!E56</f>
        <v>-49203.034975999995</v>
      </c>
      <c r="D9" s="1" t="s">
        <v>543</v>
      </c>
      <c r="E9" s="112" t="s">
        <v>318</v>
      </c>
      <c r="F9" s="112"/>
      <c r="G9" s="112"/>
      <c r="H9" s="112"/>
      <c r="I9" s="1"/>
      <c r="J9" s="1"/>
      <c r="K9" s="1"/>
      <c r="L9" s="1"/>
      <c r="M9" s="1"/>
      <c r="N9" s="1"/>
    </row>
    <row r="10" spans="1:14" ht="18" customHeight="1">
      <c r="A10" s="1"/>
      <c r="B10" s="75" t="s">
        <v>48</v>
      </c>
      <c r="C10" s="76">
        <f>-'FDD 조정'!E57</f>
        <v>1186614.6815895401</v>
      </c>
      <c r="D10" s="1" t="s">
        <v>544</v>
      </c>
      <c r="E10" s="112" t="s">
        <v>319</v>
      </c>
      <c r="F10" s="112"/>
      <c r="G10" s="112"/>
      <c r="H10" s="112"/>
      <c r="I10" s="1"/>
      <c r="J10" s="1"/>
      <c r="K10" s="1"/>
      <c r="L10" s="1"/>
      <c r="M10" s="1"/>
      <c r="N10" s="1"/>
    </row>
    <row r="11" spans="1:14" ht="18" customHeight="1">
      <c r="A11" s="1"/>
      <c r="B11" s="75" t="s">
        <v>320</v>
      </c>
      <c r="C11" s="76">
        <f>'FDD 조정'!E62</f>
        <v>1626402.257</v>
      </c>
      <c r="D11" s="1"/>
      <c r="E11" s="112" t="s">
        <v>321</v>
      </c>
      <c r="F11" s="112"/>
      <c r="G11" s="112"/>
      <c r="H11" s="112"/>
      <c r="I11" s="1"/>
      <c r="J11" s="1"/>
      <c r="K11" s="1"/>
      <c r="L11" s="1"/>
      <c r="M11" s="1"/>
      <c r="N11" s="1"/>
    </row>
    <row r="12" spans="1:14" ht="18" customHeight="1">
      <c r="A12" s="1"/>
      <c r="B12" s="75" t="s">
        <v>322</v>
      </c>
      <c r="C12" s="76">
        <f>'FDD 조정'!E63</f>
        <v>66813.167087999987</v>
      </c>
      <c r="D12" s="1"/>
      <c r="E12" s="112" t="s">
        <v>323</v>
      </c>
      <c r="F12" s="112"/>
      <c r="G12" s="112"/>
      <c r="H12" s="112"/>
      <c r="I12" s="1"/>
      <c r="J12" s="1"/>
      <c r="K12" s="1"/>
      <c r="L12" s="1"/>
      <c r="M12" s="1"/>
      <c r="N12" s="1"/>
    </row>
    <row r="13" spans="1:14" ht="18" customHeight="1">
      <c r="A13" s="1"/>
      <c r="B13" s="75" t="s">
        <v>324</v>
      </c>
      <c r="C13" s="76">
        <f>'FDD 조정'!E64</f>
        <v>103263</v>
      </c>
      <c r="D13" s="1"/>
      <c r="E13" s="112" t="s">
        <v>325</v>
      </c>
      <c r="F13" s="112"/>
      <c r="G13" s="112"/>
      <c r="H13" s="112"/>
      <c r="I13" s="1"/>
      <c r="J13" s="1"/>
      <c r="K13" s="1"/>
      <c r="L13" s="1"/>
      <c r="M13" s="1"/>
      <c r="N13" s="1"/>
    </row>
    <row r="14" spans="1:14" ht="18" customHeight="1">
      <c r="A14" s="1"/>
      <c r="B14" s="75" t="s">
        <v>326</v>
      </c>
      <c r="C14" s="76">
        <f>'FDD 조정'!E65</f>
        <v>5020.5963590000001</v>
      </c>
      <c r="D14" s="1"/>
      <c r="E14" s="112" t="s">
        <v>327</v>
      </c>
      <c r="F14" s="112"/>
      <c r="G14" s="112"/>
      <c r="H14" s="112"/>
      <c r="I14" s="1"/>
      <c r="J14" s="1"/>
      <c r="K14" s="1"/>
      <c r="L14" s="1"/>
      <c r="M14" s="1"/>
      <c r="N14" s="1"/>
    </row>
    <row r="15" spans="1:14" ht="18" customHeight="1">
      <c r="A15" s="1"/>
      <c r="B15" s="75" t="s">
        <v>328</v>
      </c>
      <c r="C15" s="76">
        <f>'FDD 조정'!E66</f>
        <v>0</v>
      </c>
      <c r="D15" s="1"/>
      <c r="E15" s="112" t="s">
        <v>329</v>
      </c>
      <c r="F15" s="112"/>
      <c r="G15" s="112"/>
      <c r="H15" s="112"/>
      <c r="I15" s="1"/>
      <c r="J15" s="1"/>
      <c r="K15" s="1"/>
      <c r="L15" s="1"/>
      <c r="M15" s="1"/>
      <c r="N15" s="1"/>
    </row>
    <row r="16" spans="1:14" ht="18" customHeight="1">
      <c r="A16" s="1"/>
      <c r="B16" s="75" t="s">
        <v>330</v>
      </c>
      <c r="C16" s="76">
        <f>'FDD 조정'!E67</f>
        <v>0</v>
      </c>
      <c r="D16" s="1"/>
      <c r="E16" s="92"/>
      <c r="F16" s="92"/>
      <c r="G16" s="92"/>
      <c r="H16" s="92"/>
      <c r="I16" s="1"/>
      <c r="J16" s="1"/>
      <c r="K16" s="1"/>
      <c r="L16" s="1"/>
      <c r="M16" s="1"/>
      <c r="N16" s="1"/>
    </row>
    <row r="17" spans="1:14" ht="18" customHeight="1">
      <c r="A17" s="1"/>
      <c r="B17" s="85" t="s">
        <v>331</v>
      </c>
      <c r="C17" s="86">
        <f>SUM(C10:C16)</f>
        <v>2988113.7020365405</v>
      </c>
      <c r="D17" s="1"/>
      <c r="E17" s="92" t="s">
        <v>332</v>
      </c>
      <c r="F17" s="92" t="s">
        <v>332</v>
      </c>
      <c r="G17" s="92" t="s">
        <v>332</v>
      </c>
      <c r="H17" s="92" t="s">
        <v>332</v>
      </c>
      <c r="I17" s="1"/>
      <c r="J17" s="1"/>
      <c r="K17" s="1"/>
      <c r="L17" s="1"/>
      <c r="M17" s="1"/>
      <c r="N17" s="1"/>
    </row>
    <row r="18" spans="1:14" ht="18" customHeight="1">
      <c r="A18" s="1"/>
      <c r="B18" s="75"/>
      <c r="C18" s="76"/>
      <c r="D18" s="1"/>
      <c r="E18" s="1"/>
      <c r="F18" s="1"/>
      <c r="G18" s="1"/>
      <c r="H18" s="1"/>
      <c r="I18" s="1"/>
      <c r="J18" s="1"/>
      <c r="K18" s="1"/>
      <c r="L18" s="1"/>
      <c r="M18" s="1"/>
      <c r="N18" s="1"/>
    </row>
    <row r="19" spans="1:14" ht="18" customHeight="1">
      <c r="A19" s="1"/>
      <c r="B19" s="110" t="s">
        <v>333</v>
      </c>
      <c r="C19" s="111" t="s">
        <v>333</v>
      </c>
      <c r="D19" s="97" t="s">
        <v>333</v>
      </c>
      <c r="E19" s="97" t="s">
        <v>333</v>
      </c>
      <c r="F19" s="97" t="s">
        <v>333</v>
      </c>
      <c r="G19" s="97" t="s">
        <v>333</v>
      </c>
      <c r="H19" s="97" t="s">
        <v>333</v>
      </c>
      <c r="I19" s="1"/>
      <c r="J19" s="1"/>
      <c r="K19" s="1"/>
      <c r="L19" s="1"/>
      <c r="M19" s="1"/>
      <c r="N19" s="1"/>
    </row>
    <row r="20" spans="1:14" ht="18" customHeight="1">
      <c r="A20" s="1"/>
      <c r="B20" s="75" t="s">
        <v>334</v>
      </c>
      <c r="C20" s="76">
        <f>'FDD 조정'!E70</f>
        <v>0</v>
      </c>
      <c r="D20" s="1"/>
      <c r="E20" s="1"/>
      <c r="F20" s="1"/>
      <c r="G20" s="1"/>
      <c r="H20" s="1"/>
      <c r="I20" s="1"/>
      <c r="J20" s="1"/>
      <c r="K20" s="1"/>
      <c r="L20" s="1"/>
      <c r="M20" s="1"/>
      <c r="N20" s="1"/>
    </row>
    <row r="21" spans="1:14" ht="18" customHeight="1">
      <c r="A21" s="1"/>
      <c r="B21" s="75" t="s">
        <v>54</v>
      </c>
      <c r="C21" s="76">
        <f>-'FDD 조정'!E69</f>
        <v>-103543.70338799999</v>
      </c>
      <c r="D21" s="1"/>
      <c r="E21" s="1"/>
      <c r="F21" s="1"/>
      <c r="G21" s="1"/>
      <c r="H21" s="1"/>
      <c r="I21" s="1"/>
      <c r="J21" s="1"/>
      <c r="K21" s="1"/>
      <c r="L21" s="1"/>
      <c r="M21" s="1"/>
      <c r="N21" s="1"/>
    </row>
    <row r="22" spans="1:14" ht="18" customHeight="1">
      <c r="A22" s="1"/>
      <c r="B22" s="75" t="s">
        <v>335</v>
      </c>
      <c r="C22" s="76">
        <f>0</f>
        <v>0</v>
      </c>
      <c r="D22" s="1"/>
      <c r="E22" s="1"/>
      <c r="F22" s="1"/>
      <c r="G22" s="1"/>
      <c r="H22" s="1"/>
      <c r="I22" s="1"/>
      <c r="J22" s="1"/>
      <c r="K22" s="1"/>
      <c r="L22" s="1"/>
      <c r="M22" s="1"/>
      <c r="N22" s="1"/>
    </row>
    <row r="23" spans="1:14" ht="18" customHeight="1">
      <c r="A23" s="1"/>
      <c r="B23" s="85" t="s">
        <v>336</v>
      </c>
      <c r="C23" s="86">
        <f>SUM(C20:C22)</f>
        <v>-103543.70338799999</v>
      </c>
      <c r="D23" s="1"/>
      <c r="E23" s="1"/>
      <c r="F23" s="1"/>
      <c r="G23" s="1"/>
      <c r="H23" s="1"/>
      <c r="I23" s="1"/>
      <c r="J23" s="1"/>
      <c r="K23" s="1"/>
      <c r="L23" s="1"/>
      <c r="M23" s="1"/>
      <c r="N23" s="1"/>
    </row>
    <row r="24" spans="1:14" ht="18" customHeight="1">
      <c r="A24" s="1"/>
      <c r="B24" s="75"/>
      <c r="C24" s="76"/>
      <c r="D24" s="1"/>
      <c r="E24" s="1"/>
      <c r="F24" s="1"/>
      <c r="G24" s="1"/>
      <c r="H24" s="1"/>
      <c r="I24" s="1"/>
      <c r="J24" s="1"/>
      <c r="K24" s="1"/>
      <c r="L24" s="1"/>
      <c r="M24" s="1"/>
      <c r="N24" s="1"/>
    </row>
    <row r="25" spans="1:14" ht="18" customHeight="1">
      <c r="A25" s="1"/>
      <c r="B25" s="110" t="s">
        <v>337</v>
      </c>
      <c r="C25" s="111" t="s">
        <v>337</v>
      </c>
      <c r="D25" s="97" t="s">
        <v>337</v>
      </c>
      <c r="E25" s="97" t="s">
        <v>337</v>
      </c>
      <c r="F25" s="97" t="s">
        <v>337</v>
      </c>
      <c r="G25" s="97" t="s">
        <v>337</v>
      </c>
      <c r="H25" s="97" t="s">
        <v>337</v>
      </c>
      <c r="I25" s="1"/>
      <c r="J25" s="1"/>
      <c r="K25" s="1"/>
      <c r="L25" s="1"/>
      <c r="M25" s="1"/>
      <c r="N25" s="1"/>
    </row>
    <row r="26" spans="1:14" ht="18" customHeight="1">
      <c r="A26" s="1"/>
      <c r="B26" s="75" t="s">
        <v>338</v>
      </c>
      <c r="C26" s="76">
        <f>SUM(C17,C23)</f>
        <v>2884569.9986485406</v>
      </c>
      <c r="D26" s="1"/>
      <c r="E26" s="1"/>
      <c r="F26" s="1"/>
      <c r="G26" s="1"/>
      <c r="H26" s="1"/>
      <c r="I26" s="1"/>
      <c r="J26" s="1"/>
      <c r="K26" s="1"/>
      <c r="L26" s="1"/>
      <c r="M26" s="1"/>
      <c r="N26" s="1"/>
    </row>
    <row r="27" spans="1:14" ht="18" customHeight="1">
      <c r="A27" s="1"/>
      <c r="B27" s="85" t="s">
        <v>60</v>
      </c>
      <c r="C27" s="86">
        <f>SUM(C5,C26)</f>
        <v>9415024.1664658859</v>
      </c>
      <c r="D27" s="1"/>
      <c r="E27" s="1"/>
      <c r="F27" s="1"/>
      <c r="G27" s="1"/>
      <c r="H27" s="1"/>
      <c r="I27" s="1"/>
      <c r="J27" s="1"/>
      <c r="K27" s="1"/>
      <c r="L27" s="1"/>
      <c r="M27" s="1"/>
      <c r="N27" s="1"/>
    </row>
    <row r="28" spans="1:14" ht="18" customHeight="1">
      <c r="A28" s="1"/>
      <c r="B28" s="75" t="s">
        <v>63</v>
      </c>
      <c r="C28" s="77">
        <f>과거재무제표!F67/1000000</f>
        <v>39.528787999999999</v>
      </c>
      <c r="D28" s="1"/>
      <c r="E28" s="1"/>
      <c r="F28" s="1"/>
      <c r="G28" s="1"/>
      <c r="H28" s="1"/>
      <c r="I28" s="1"/>
      <c r="J28" s="1"/>
      <c r="K28" s="1"/>
      <c r="L28" s="1"/>
      <c r="M28" s="1"/>
      <c r="N28" s="1"/>
    </row>
    <row r="29" spans="1:14" ht="18" customHeight="1">
      <c r="A29" s="1"/>
      <c r="B29" s="87" t="s">
        <v>66</v>
      </c>
      <c r="C29" s="88">
        <f>C27/C28</f>
        <v>238181.45313400164</v>
      </c>
      <c r="D29" s="1"/>
      <c r="E29" s="1"/>
      <c r="F29" s="1"/>
      <c r="G29" s="1"/>
      <c r="H29" s="1"/>
      <c r="I29" s="1"/>
      <c r="J29" s="1"/>
      <c r="K29" s="1"/>
      <c r="L29" s="1"/>
      <c r="M29" s="1"/>
      <c r="N29" s="1"/>
    </row>
    <row r="30" spans="1:14" ht="18" customHeight="1">
      <c r="A30" s="1"/>
      <c r="B30" s="75" t="s">
        <v>69</v>
      </c>
      <c r="C30" s="81">
        <f>과거재무제표!F68</f>
        <v>104330</v>
      </c>
      <c r="D30" s="1"/>
      <c r="E30" s="1"/>
      <c r="F30" s="1"/>
      <c r="G30" s="1"/>
      <c r="H30" s="1"/>
      <c r="I30" s="1"/>
      <c r="J30" s="1"/>
      <c r="K30" s="1"/>
      <c r="L30" s="1"/>
      <c r="M30" s="1"/>
      <c r="N30" s="1"/>
    </row>
    <row r="31" spans="1:14" ht="18" customHeight="1">
      <c r="A31" s="1"/>
      <c r="B31" s="75" t="s">
        <v>72</v>
      </c>
      <c r="C31" s="80">
        <f>C29/C30-1</f>
        <v>1.2829622652544965</v>
      </c>
      <c r="D31" s="1"/>
      <c r="E31" s="1"/>
      <c r="F31" s="1"/>
      <c r="G31" s="1"/>
      <c r="H31" s="1"/>
      <c r="I31" s="1"/>
      <c r="J31" s="1"/>
      <c r="K31" s="1"/>
      <c r="L31" s="1"/>
      <c r="M31" s="1"/>
      <c r="N31" s="1"/>
    </row>
    <row r="32" spans="1:14" ht="18" customHeight="1">
      <c r="A32" s="1"/>
      <c r="B32" s="1"/>
      <c r="C32" s="1"/>
      <c r="D32" s="1"/>
      <c r="E32" s="1"/>
      <c r="F32" s="1"/>
      <c r="G32" s="1"/>
      <c r="H32" s="1"/>
      <c r="I32" s="1"/>
      <c r="J32" s="1"/>
      <c r="K32" s="1"/>
      <c r="L32" s="1"/>
      <c r="M32" s="1"/>
      <c r="N32" s="1"/>
    </row>
    <row r="33" spans="1:14" ht="18" customHeight="1">
      <c r="A33" s="1"/>
      <c r="B33" s="1"/>
      <c r="C33" s="1"/>
      <c r="D33" s="1"/>
      <c r="E33" s="1"/>
      <c r="F33" s="1"/>
      <c r="G33" s="1"/>
      <c r="H33" s="1"/>
      <c r="I33" s="1"/>
      <c r="J33" s="1"/>
      <c r="K33" s="1"/>
      <c r="L33" s="1"/>
      <c r="M33" s="1"/>
      <c r="N33" s="1"/>
    </row>
    <row r="34" spans="1:14" ht="18" customHeight="1">
      <c r="A34" s="1"/>
      <c r="B34" s="1"/>
      <c r="C34" s="1"/>
      <c r="D34" s="1"/>
      <c r="E34" s="1"/>
      <c r="F34" s="1"/>
      <c r="G34" s="1"/>
      <c r="H34" s="1"/>
      <c r="I34" s="1"/>
      <c r="J34" s="1"/>
      <c r="K34" s="1"/>
      <c r="L34" s="1"/>
      <c r="M34" s="1"/>
      <c r="N34" s="1"/>
    </row>
    <row r="35" spans="1:14" ht="18" customHeight="1">
      <c r="A35" s="1"/>
      <c r="B35" s="1"/>
      <c r="C35" s="1"/>
      <c r="D35" s="1"/>
      <c r="E35" s="1"/>
      <c r="F35" s="1"/>
      <c r="G35" s="1"/>
      <c r="H35" s="1"/>
      <c r="I35" s="1"/>
      <c r="J35" s="1"/>
      <c r="K35" s="1"/>
      <c r="L35" s="1"/>
      <c r="M35" s="1"/>
      <c r="N35" s="1"/>
    </row>
    <row r="36" spans="1:14" ht="18" customHeight="1">
      <c r="A36" s="1"/>
      <c r="B36" s="1"/>
      <c r="C36" s="1"/>
      <c r="D36" s="1"/>
      <c r="E36" s="1"/>
      <c r="F36" s="1"/>
      <c r="G36" s="1"/>
      <c r="H36" s="1"/>
      <c r="I36" s="1"/>
      <c r="J36" s="1"/>
      <c r="K36" s="1"/>
      <c r="L36" s="1"/>
      <c r="M36" s="1"/>
      <c r="N36" s="1"/>
    </row>
    <row r="37" spans="1:14" ht="18" customHeight="1">
      <c r="A37" s="1"/>
      <c r="B37" s="1"/>
      <c r="C37" s="1"/>
      <c r="D37" s="1"/>
      <c r="E37" s="1"/>
      <c r="F37" s="1"/>
      <c r="G37" s="1"/>
      <c r="H37" s="1"/>
      <c r="I37" s="1"/>
      <c r="J37" s="1"/>
      <c r="K37" s="1"/>
      <c r="L37" s="1"/>
      <c r="M37" s="1"/>
      <c r="N37" s="1"/>
    </row>
    <row r="38" spans="1:14" ht="18" customHeight="1">
      <c r="A38" s="1"/>
      <c r="B38" s="1"/>
      <c r="C38" s="1"/>
      <c r="D38" s="1"/>
      <c r="E38" s="1"/>
      <c r="F38" s="1"/>
      <c r="G38" s="1"/>
      <c r="H38" s="1"/>
      <c r="I38" s="1"/>
      <c r="J38" s="1"/>
      <c r="K38" s="1"/>
      <c r="L38" s="1"/>
      <c r="M38" s="1"/>
      <c r="N38" s="1"/>
    </row>
    <row r="39" spans="1:14" ht="18" customHeight="1">
      <c r="A39" s="1"/>
      <c r="B39" s="1"/>
      <c r="C39" s="1"/>
      <c r="D39" s="1"/>
      <c r="E39" s="1"/>
      <c r="F39" s="1"/>
      <c r="G39" s="1"/>
      <c r="H39" s="1"/>
      <c r="I39" s="1"/>
      <c r="J39" s="1"/>
      <c r="K39" s="1"/>
      <c r="L39" s="1"/>
      <c r="M39" s="1"/>
      <c r="N39" s="1"/>
    </row>
    <row r="40" spans="1:14" ht="18" customHeight="1">
      <c r="A40" s="1"/>
      <c r="B40" s="1"/>
      <c r="C40" s="1"/>
      <c r="D40" s="1"/>
      <c r="E40" s="1"/>
      <c r="F40" s="1"/>
      <c r="G40" s="1"/>
      <c r="H40" s="1"/>
      <c r="I40" s="1"/>
      <c r="J40" s="1"/>
      <c r="K40" s="1"/>
      <c r="L40" s="1"/>
      <c r="M40" s="1"/>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6">
    <mergeCell ref="B25:H25"/>
    <mergeCell ref="B1:H2"/>
    <mergeCell ref="B4:H4"/>
    <mergeCell ref="B7:H7"/>
    <mergeCell ref="E8:H17"/>
    <mergeCell ref="B19:H19"/>
  </mergeCells>
  <phoneticPr fontId="1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20"/>
  <sheetViews>
    <sheetView showGridLines="0" workbookViewId="0"/>
  </sheetViews>
  <sheetFormatPr defaultRowHeight="14.25"/>
  <cols>
    <col min="1" max="1" width="3" customWidth="1"/>
    <col min="2" max="2" width="24" customWidth="1"/>
    <col min="3" max="10" width="13" customWidth="1"/>
    <col min="11" max="11" width="3" customWidth="1"/>
    <col min="12" max="14" width="20" customWidth="1"/>
  </cols>
  <sheetData>
    <row r="1" spans="1:14" ht="18" customHeight="1">
      <c r="A1" s="1"/>
      <c r="B1" s="90" t="s">
        <v>339</v>
      </c>
      <c r="C1" s="90" t="s">
        <v>339</v>
      </c>
      <c r="D1" s="90" t="s">
        <v>339</v>
      </c>
      <c r="E1" s="90" t="s">
        <v>339</v>
      </c>
      <c r="F1" s="90" t="s">
        <v>339</v>
      </c>
      <c r="G1" s="90" t="s">
        <v>339</v>
      </c>
      <c r="H1" s="90" t="s">
        <v>339</v>
      </c>
      <c r="I1" s="1"/>
      <c r="J1" s="1"/>
      <c r="K1" s="1"/>
      <c r="L1" s="1"/>
      <c r="M1" s="1"/>
      <c r="N1" s="1"/>
    </row>
    <row r="2" spans="1:14" ht="18" customHeight="1">
      <c r="A2" s="1"/>
      <c r="B2" s="90" t="s">
        <v>339</v>
      </c>
      <c r="C2" s="90" t="s">
        <v>339</v>
      </c>
      <c r="D2" s="90" t="s">
        <v>339</v>
      </c>
      <c r="E2" s="90" t="s">
        <v>339</v>
      </c>
      <c r="F2" s="90" t="s">
        <v>339</v>
      </c>
      <c r="G2" s="90" t="s">
        <v>339</v>
      </c>
      <c r="H2" s="90" t="s">
        <v>339</v>
      </c>
      <c r="I2" s="1"/>
      <c r="J2" s="1"/>
      <c r="K2" s="1"/>
      <c r="L2" s="1"/>
      <c r="M2" s="1"/>
      <c r="N2" s="1"/>
    </row>
    <row r="3" spans="1:14" ht="18" customHeight="1">
      <c r="A3" s="1"/>
      <c r="B3" s="1"/>
      <c r="C3" s="1"/>
      <c r="D3" s="1"/>
      <c r="E3" s="1"/>
      <c r="F3" s="1"/>
      <c r="G3" s="1"/>
      <c r="H3" s="1"/>
      <c r="I3" s="1"/>
      <c r="J3" s="1"/>
      <c r="K3" s="1"/>
      <c r="L3" s="1"/>
      <c r="M3" s="1"/>
      <c r="N3" s="1"/>
    </row>
    <row r="4" spans="1:14" ht="18" customHeight="1">
      <c r="A4" s="1"/>
      <c r="B4" s="91" t="s">
        <v>340</v>
      </c>
      <c r="C4" s="91" t="s">
        <v>340</v>
      </c>
      <c r="D4" s="91" t="s">
        <v>340</v>
      </c>
      <c r="E4" s="91" t="s">
        <v>340</v>
      </c>
      <c r="F4" s="91" t="s">
        <v>340</v>
      </c>
      <c r="G4" s="91" t="s">
        <v>340</v>
      </c>
      <c r="H4" s="1"/>
      <c r="I4" s="1"/>
      <c r="J4" s="1"/>
      <c r="K4" s="1"/>
      <c r="L4" s="1"/>
      <c r="M4" s="1"/>
      <c r="N4" s="1"/>
    </row>
    <row r="5" spans="1:14" ht="18" customHeight="1">
      <c r="A5" s="1"/>
      <c r="B5" s="39" t="s">
        <v>341</v>
      </c>
      <c r="C5" s="39">
        <v>8.5000000000000006E-2</v>
      </c>
      <c r="D5" s="39">
        <v>0.09</v>
      </c>
      <c r="E5" s="39">
        <v>9.5000000000000001E-2</v>
      </c>
      <c r="F5" s="39">
        <v>0.1</v>
      </c>
      <c r="G5" s="39">
        <v>0.105</v>
      </c>
      <c r="H5" s="1"/>
      <c r="I5" s="1"/>
      <c r="J5" s="1"/>
      <c r="K5" s="1"/>
      <c r="L5" s="1"/>
      <c r="M5" s="1"/>
      <c r="N5" s="1"/>
    </row>
    <row r="6" spans="1:14" ht="18" customHeight="1">
      <c r="A6" s="1"/>
      <c r="B6" s="40">
        <v>0.01</v>
      </c>
      <c r="C6" s="21">
        <f>(SUM(DCF!$C$15/(1+C$5)^1,DCF!$D$15/(1+C$5)^2,DCF!$E$15/(1+C$5)^3,DCF!$F$15/(1+C$5)^4,DCF!$G$15/(1+C$5)^5)+(DCF!$G$15*(1+$B6)/(C$5-$B6))/(1+C$5)^5+기업가치_지분가치!$C$26)/기업가치_지분가치!$C$28</f>
        <v>243416.68181855776</v>
      </c>
      <c r="D6" s="21">
        <f>(SUM(DCF!$C$15/(1+D$5)^1,DCF!$D$15/(1+D$5)^2,DCF!$E$15/(1+D$5)^3,DCF!$F$15/(1+D$5)^4,DCF!$G$15/(1+D$5)^5)+(DCF!$G$15*(1+$B6)/(D$5-$B6))/(1+D$5)^5+기업가치_지분가치!$C$26)/기업가치_지분가치!$C$28</f>
        <v>232098.99846719162</v>
      </c>
      <c r="E6" s="21">
        <f>(SUM(DCF!$C$15/(1+E$5)^1,DCF!$D$15/(1+E$5)^2,DCF!$E$15/(1+E$5)^3,DCF!$F$15/(1+E$5)^4,DCF!$G$15/(1+E$5)^5)+(DCF!$G$15*(1+$B6)/(E$5-$B6))/(1+E$5)^5+기업가치_지분가치!$C$26)/기업가치_지분가치!$C$28</f>
        <v>222121.85007718197</v>
      </c>
      <c r="F6" s="21">
        <f>(SUM(DCF!$C$15/(1+F$5)^1,DCF!$D$15/(1+F$5)^2,DCF!$E$15/(1+F$5)^3,DCF!$F$15/(1+F$5)^4,DCF!$G$15/(1+F$5)^5)+(DCF!$G$15*(1+$B6)/(F$5-$B6))/(1+F$5)^5+기업가치_지분가치!$C$26)/기업가치_지분가치!$C$28</f>
        <v>213261.64527015833</v>
      </c>
      <c r="G6" s="21">
        <f>(SUM(DCF!$C$15/(1+G$5)^1,DCF!$D$15/(1+G$5)^2,DCF!$E$15/(1+G$5)^3,DCF!$F$15/(1+G$5)^4,DCF!$G$15/(1+G$5)^5)+(DCF!$G$15*(1+$B6)/(G$5-$B6))/(1+G$5)^5+기업가치_지분가치!$C$26)/기업가치_지분가치!$C$28</f>
        <v>205341.86853607523</v>
      </c>
      <c r="H6" s="1"/>
      <c r="I6" s="1"/>
      <c r="J6" s="1"/>
      <c r="K6" s="1"/>
      <c r="L6" s="1"/>
      <c r="M6" s="1"/>
      <c r="N6" s="1"/>
    </row>
    <row r="7" spans="1:14" ht="18" customHeight="1">
      <c r="A7" s="1"/>
      <c r="B7" s="40">
        <v>1.4999999999999999E-2</v>
      </c>
      <c r="C7" s="21">
        <f>(SUM(DCF!$C$15/(1+C$5)^1,DCF!$D$15/(1+C$5)^2,DCF!$E$15/(1+C$5)^3,DCF!$F$15/(1+C$5)^4,DCF!$G$15/(1+C$5)^5)+(DCF!$G$15*(1+$B7)/(C$5-$B7))/(1+C$5)^5+기업가치_지분가치!$C$26)/기업가치_지분가치!$C$28</f>
        <v>253203.13667140048</v>
      </c>
      <c r="D7" s="21">
        <f>(SUM(DCF!$C$15/(1+D$5)^1,DCF!$D$15/(1+D$5)^2,DCF!$E$15/(1+D$5)^3,DCF!$F$15/(1+D$5)^4,DCF!$G$15/(1+D$5)^5)+(DCF!$G$15*(1+$B7)/(D$5-$B7))/(1+D$5)^5+기업가치_지분가치!$C$26)/기업가치_지분가치!$C$28</f>
        <v>240506.10229402961</v>
      </c>
      <c r="E7" s="21">
        <f>(SUM(DCF!$C$15/(1+E$5)^1,DCF!$D$15/(1+E$5)^2,DCF!$E$15/(1+E$5)^3,DCF!$F$15/(1+E$5)^4,DCF!$G$15/(1+E$5)^5)+(DCF!$G$15*(1+$B7)/(E$5-$B7))/(1+E$5)^5+기업가치_지분가치!$C$26)/기업가치_지분가치!$C$28</f>
        <v>229405.31886856229</v>
      </c>
      <c r="F7" s="21">
        <f>(SUM(DCF!$C$15/(1+F$5)^1,DCF!$D$15/(1+F$5)^2,DCF!$E$15/(1+F$5)^3,DCF!$F$15/(1+F$5)^4,DCF!$G$15/(1+F$5)^5)+(DCF!$G$15*(1+$B7)/(F$5-$B7))/(1+F$5)^5+기업가치_지분가치!$C$26)/기업가치_지분가치!$C$28</f>
        <v>219618.92728123124</v>
      </c>
      <c r="G7" s="21">
        <f>(SUM(DCF!$C$15/(1+G$5)^1,DCF!$D$15/(1+G$5)^2,DCF!$E$15/(1+G$5)^3,DCF!$F$15/(1+G$5)^4,DCF!$G$15/(1+G$5)^5)+(DCF!$G$15*(1+$B7)/(G$5-$B7))/(1+G$5)^5+기업가치_지분가치!$C$26)/기업가치_지분가치!$C$28</f>
        <v>210927.70769491018</v>
      </c>
      <c r="H7" s="1"/>
      <c r="I7" s="1"/>
      <c r="J7" s="1"/>
      <c r="K7" s="1"/>
      <c r="L7" s="1"/>
      <c r="M7" s="1"/>
      <c r="N7" s="1"/>
    </row>
    <row r="8" spans="1:14" ht="18" customHeight="1">
      <c r="A8" s="1"/>
      <c r="B8" s="40">
        <v>0.02</v>
      </c>
      <c r="C8" s="21">
        <f>(SUM(DCF!$C$15/(1+C$5)^1,DCF!$D$15/(1+C$5)^2,DCF!$E$15/(1+C$5)^3,DCF!$F$15/(1+C$5)^4,DCF!$G$15/(1+C$5)^5)+(DCF!$G$15*(1+$B8)/(C$5-$B8))/(1+C$5)^5+기업가치_지분가치!$C$26)/기업가치_지분가치!$C$28</f>
        <v>264495.19996314205</v>
      </c>
      <c r="D8" s="21">
        <f>(SUM(DCF!$C$15/(1+D$5)^1,DCF!$D$15/(1+D$5)^2,DCF!$E$15/(1+D$5)^3,DCF!$F$15/(1+D$5)^4,DCF!$G$15/(1+D$5)^5)+(DCF!$G$15*(1+$B8)/(D$5-$B8))/(1+D$5)^5+기업가치_지분가치!$C$26)/기업가치_지분가치!$C$28</f>
        <v>250114.22095327298</v>
      </c>
      <c r="E8" s="41">
        <f>(SUM(DCF!$C$15/(1+E$5)^1,DCF!$D$15/(1+E$5)^2,DCF!$E$15/(1+E$5)^3,DCF!$F$15/(1+E$5)^4,DCF!$G$15/(1+E$5)^5)+(DCF!$G$15*(1+$B8)/(E$5-$B8))/(1+E$5)^5+기업가치_지분가치!$C$26)/기업가치_지분가치!$C$28</f>
        <v>237659.91683212665</v>
      </c>
      <c r="F8" s="21">
        <f>(SUM(DCF!$C$15/(1+F$5)^1,DCF!$D$15/(1+F$5)^2,DCF!$E$15/(1+F$5)^3,DCF!$F$15/(1+F$5)^4,DCF!$G$15/(1+F$5)^5)+(DCF!$G$15*(1+$B8)/(F$5-$B8))/(1+F$5)^5+기업가치_지분가치!$C$26)/기업가치_지분가치!$C$28</f>
        <v>226770.86954368828</v>
      </c>
      <c r="G8" s="21">
        <f>(SUM(DCF!$C$15/(1+G$5)^1,DCF!$D$15/(1+G$5)^2,DCF!$E$15/(1+G$5)^3,DCF!$F$15/(1+G$5)^4,DCF!$G$15/(1+G$5)^5)+(DCF!$G$15*(1+$B8)/(G$5-$B8))/(1+G$5)^5+기업가치_지분가치!$C$26)/기업가치_지분가치!$C$28</f>
        <v>217170.7044018434</v>
      </c>
      <c r="H8" s="1"/>
      <c r="I8" s="1"/>
      <c r="J8" s="1"/>
      <c r="K8" s="1"/>
      <c r="L8" s="1"/>
      <c r="M8" s="1"/>
      <c r="N8" s="1"/>
    </row>
    <row r="9" spans="1:14" ht="18" customHeight="1">
      <c r="A9" s="1"/>
      <c r="B9" s="40">
        <v>2.5000000000000001E-2</v>
      </c>
      <c r="C9" s="21">
        <f>(SUM(DCF!$C$15/(1+C$5)^1,DCF!$D$15/(1+C$5)^2,DCF!$E$15/(1+C$5)^3,DCF!$F$15/(1+C$5)^4,DCF!$G$15/(1+C$5)^5)+(DCF!$G$15*(1+$B9)/(C$5-$B9))/(1+C$5)^5+기업가치_지분가치!$C$26)/기업가치_지분가치!$C$28</f>
        <v>277669.27380350721</v>
      </c>
      <c r="D9" s="21">
        <f>(SUM(DCF!$C$15/(1+D$5)^1,DCF!$D$15/(1+D$5)^2,DCF!$E$15/(1+D$5)^3,DCF!$F$15/(1+D$5)^4,DCF!$G$15/(1+D$5)^5)+(DCF!$G$15*(1+$B9)/(D$5-$B9))/(1+D$5)^5+기업가치_지분가치!$C$26)/기업가치_지분가치!$C$28</f>
        <v>261200.51171393838</v>
      </c>
      <c r="E9" s="21">
        <f>(SUM(DCF!$C$15/(1+E$5)^1,DCF!$D$15/(1+E$5)^2,DCF!$E$15/(1+E$5)^3,DCF!$F$15/(1+E$5)^4,DCF!$G$15/(1+E$5)^5)+(DCF!$G$15*(1+$B9)/(E$5-$B9))/(1+E$5)^5+기업가치_지분가치!$C$26)/기업가치_지분가치!$C$28</f>
        <v>247093.7430762001</v>
      </c>
      <c r="F9" s="21">
        <f>(SUM(DCF!$C$15/(1+F$5)^1,DCF!$D$15/(1+F$5)^2,DCF!$E$15/(1+F$5)^3,DCF!$F$15/(1+F$5)^4,DCF!$G$15/(1+F$5)^5)+(DCF!$G$15*(1+$B9)/(F$5-$B9))/(1+F$5)^5+기업가치_지분가치!$C$26)/기업가치_지분가치!$C$28</f>
        <v>234876.40410780619</v>
      </c>
      <c r="G9" s="21">
        <f>(SUM(DCF!$C$15/(1+G$5)^1,DCF!$D$15/(1+G$5)^2,DCF!$E$15/(1+G$5)^3,DCF!$F$15/(1+G$5)^4,DCF!$G$15/(1+G$5)^5)+(DCF!$G$15*(1+$B9)/(G$5-$B9))/(1+G$5)^5+기업가치_지분가치!$C$26)/기업가치_지분가치!$C$28</f>
        <v>224194.07569714327</v>
      </c>
      <c r="H9" s="1"/>
      <c r="I9" s="1"/>
      <c r="J9" s="1"/>
      <c r="K9" s="1"/>
      <c r="L9" s="1"/>
      <c r="M9" s="1"/>
      <c r="N9" s="1"/>
    </row>
    <row r="10" spans="1:14" ht="18" customHeight="1">
      <c r="A10" s="1"/>
      <c r="B10" s="40">
        <v>0.03</v>
      </c>
      <c r="C10" s="21">
        <f>(SUM(DCF!$C$15/(1+C$5)^1,DCF!$D$15/(1+C$5)^2,DCF!$E$15/(1+C$5)^3,DCF!$F$15/(1+C$5)^4,DCF!$G$15/(1+C$5)^5)+(DCF!$G$15*(1+$B10)/(C$5-$B10))/(1+C$5)^5+기업가치_지분가치!$C$26)/기업가치_지분가치!$C$28</f>
        <v>293238.63379666611</v>
      </c>
      <c r="D10" s="21">
        <f>(SUM(DCF!$C$15/(1+D$5)^1,DCF!$D$15/(1+D$5)^2,DCF!$E$15/(1+D$5)^3,DCF!$F$15/(1+D$5)^4,DCF!$G$15/(1+D$5)^5)+(DCF!$G$15*(1+$B10)/(D$5-$B10))/(1+D$5)^5+기업가치_지분가치!$C$26)/기업가치_지분가치!$C$28</f>
        <v>274134.51760138146</v>
      </c>
      <c r="E10" s="21">
        <f>(SUM(DCF!$C$15/(1+E$5)^1,DCF!$D$15/(1+E$5)^2,DCF!$E$15/(1+E$5)^3,DCF!$F$15/(1+E$5)^4,DCF!$G$15/(1+E$5)^5)+(DCF!$G$15*(1+$B10)/(E$5-$B10))/(1+E$5)^5+기업가치_지분가치!$C$26)/기업가치_지분가치!$C$28</f>
        <v>257978.92720397731</v>
      </c>
      <c r="F10" s="21">
        <f>(SUM(DCF!$C$15/(1+F$5)^1,DCF!$D$15/(1+F$5)^2,DCF!$E$15/(1+F$5)^3,DCF!$F$15/(1+F$5)^4,DCF!$G$15/(1+F$5)^5)+(DCF!$G$15*(1+$B10)/(F$5-$B10))/(1+F$5)^5+기업가치_지분가치!$C$26)/기업가치_지분가치!$C$28</f>
        <v>244139.87218108386</v>
      </c>
      <c r="G10" s="21">
        <f>(SUM(DCF!$C$15/(1+G$5)^1,DCF!$D$15/(1+G$5)^2,DCF!$E$15/(1+G$5)^3,DCF!$F$15/(1+G$5)^4,DCF!$G$15/(1+G$5)^5)+(DCF!$G$15*(1+$B10)/(G$5-$B10))/(1+G$5)^5+기업가치_지분가치!$C$26)/기업가치_지분가치!$C$28</f>
        <v>232153.89649848311</v>
      </c>
      <c r="H10" s="1"/>
      <c r="I10" s="1"/>
      <c r="J10" s="1"/>
      <c r="K10" s="1"/>
      <c r="L10" s="1"/>
      <c r="M10" s="1"/>
      <c r="N10" s="1"/>
    </row>
    <row r="11" spans="1:14" ht="18" customHeight="1">
      <c r="A11" s="1"/>
      <c r="B11" s="1"/>
      <c r="C11" s="1"/>
      <c r="D11" s="1"/>
      <c r="E11" s="1"/>
      <c r="F11" s="1"/>
      <c r="G11" s="1"/>
      <c r="H11" s="1"/>
      <c r="I11" s="1"/>
      <c r="J11" s="1"/>
      <c r="K11" s="1"/>
      <c r="L11" s="1"/>
      <c r="M11" s="1"/>
      <c r="N11" s="1"/>
    </row>
    <row r="12" spans="1:14" ht="18" customHeight="1">
      <c r="A12" s="1"/>
      <c r="B12" s="1"/>
      <c r="C12" s="1"/>
      <c r="D12" s="1"/>
      <c r="E12" s="1"/>
      <c r="F12" s="1"/>
      <c r="G12" s="1"/>
      <c r="H12" s="1"/>
      <c r="I12" s="1"/>
      <c r="J12" s="1"/>
      <c r="K12" s="1"/>
      <c r="L12" s="1"/>
      <c r="M12" s="1"/>
      <c r="N12" s="1"/>
    </row>
    <row r="13" spans="1:14" ht="18" customHeight="1">
      <c r="A13" s="1"/>
      <c r="B13" s="92" t="s">
        <v>342</v>
      </c>
      <c r="C13" s="92" t="s">
        <v>342</v>
      </c>
      <c r="D13" s="92" t="s">
        <v>342</v>
      </c>
      <c r="E13" s="92" t="s">
        <v>342</v>
      </c>
      <c r="F13" s="92" t="s">
        <v>342</v>
      </c>
      <c r="G13" s="92" t="s">
        <v>342</v>
      </c>
      <c r="H13" s="1"/>
      <c r="I13" s="1"/>
      <c r="J13" s="1"/>
      <c r="K13" s="1"/>
      <c r="L13" s="1"/>
      <c r="M13" s="1"/>
      <c r="N13" s="1"/>
    </row>
    <row r="14" spans="1:14" ht="18" customHeight="1">
      <c r="A14" s="1"/>
      <c r="B14" s="92" t="s">
        <v>342</v>
      </c>
      <c r="C14" s="92" t="s">
        <v>342</v>
      </c>
      <c r="D14" s="92" t="s">
        <v>342</v>
      </c>
      <c r="E14" s="92" t="s">
        <v>342</v>
      </c>
      <c r="F14" s="92" t="s">
        <v>342</v>
      </c>
      <c r="G14" s="92" t="s">
        <v>342</v>
      </c>
      <c r="H14" s="1"/>
      <c r="I14" s="1"/>
      <c r="J14" s="1"/>
      <c r="K14" s="1"/>
      <c r="L14" s="1"/>
      <c r="M14" s="1"/>
      <c r="N14" s="1"/>
    </row>
    <row r="15" spans="1:14" ht="18" customHeight="1">
      <c r="A15" s="1"/>
      <c r="B15" s="92" t="s">
        <v>342</v>
      </c>
      <c r="C15" s="92" t="s">
        <v>342</v>
      </c>
      <c r="D15" s="92" t="s">
        <v>342</v>
      </c>
      <c r="E15" s="92" t="s">
        <v>342</v>
      </c>
      <c r="F15" s="92" t="s">
        <v>342</v>
      </c>
      <c r="G15" s="92" t="s">
        <v>342</v>
      </c>
      <c r="H15" s="1"/>
      <c r="I15" s="1"/>
      <c r="J15" s="1"/>
      <c r="K15" s="1"/>
      <c r="L15" s="1"/>
      <c r="M15" s="1"/>
      <c r="N15" s="1"/>
    </row>
    <row r="16" spans="1:14" ht="18" customHeight="1">
      <c r="A16" s="1"/>
      <c r="B16" s="92" t="s">
        <v>342</v>
      </c>
      <c r="C16" s="92" t="s">
        <v>342</v>
      </c>
      <c r="D16" s="92" t="s">
        <v>342</v>
      </c>
      <c r="E16" s="92" t="s">
        <v>342</v>
      </c>
      <c r="F16" s="92" t="s">
        <v>342</v>
      </c>
      <c r="G16" s="92" t="s">
        <v>342</v>
      </c>
      <c r="H16" s="1"/>
      <c r="I16" s="1"/>
      <c r="J16" s="1"/>
      <c r="K16" s="1"/>
      <c r="L16" s="1"/>
      <c r="M16" s="1"/>
      <c r="N16" s="1"/>
    </row>
    <row r="17" spans="1:14" ht="18" customHeight="1">
      <c r="A17" s="1"/>
      <c r="B17" s="92" t="s">
        <v>342</v>
      </c>
      <c r="C17" s="92" t="s">
        <v>342</v>
      </c>
      <c r="D17" s="92" t="s">
        <v>342</v>
      </c>
      <c r="E17" s="92" t="s">
        <v>342</v>
      </c>
      <c r="F17" s="92" t="s">
        <v>342</v>
      </c>
      <c r="G17" s="92" t="s">
        <v>342</v>
      </c>
      <c r="H17" s="1"/>
      <c r="I17" s="1"/>
      <c r="J17" s="1"/>
      <c r="K17" s="1"/>
      <c r="L17" s="1"/>
      <c r="M17" s="1"/>
      <c r="N17" s="1"/>
    </row>
    <row r="18" spans="1:14" ht="18" customHeight="1">
      <c r="A18" s="1"/>
      <c r="B18" s="92" t="s">
        <v>342</v>
      </c>
      <c r="C18" s="92" t="s">
        <v>342</v>
      </c>
      <c r="D18" s="92" t="s">
        <v>342</v>
      </c>
      <c r="E18" s="92" t="s">
        <v>342</v>
      </c>
      <c r="F18" s="92" t="s">
        <v>342</v>
      </c>
      <c r="G18" s="92" t="s">
        <v>342</v>
      </c>
      <c r="H18" s="1"/>
      <c r="I18" s="1"/>
      <c r="J18" s="1"/>
      <c r="K18" s="1"/>
      <c r="L18" s="1"/>
      <c r="M18" s="1"/>
      <c r="N18" s="1"/>
    </row>
    <row r="19" spans="1:14" ht="18" customHeight="1">
      <c r="A19" s="1"/>
      <c r="B19" s="1"/>
      <c r="C19" s="1"/>
      <c r="D19" s="1"/>
      <c r="E19" s="1"/>
      <c r="F19" s="1"/>
      <c r="G19" s="1"/>
      <c r="H19" s="1"/>
      <c r="I19" s="1"/>
      <c r="J19" s="1"/>
      <c r="K19" s="1"/>
      <c r="L19" s="1"/>
      <c r="M19" s="1"/>
      <c r="N19" s="1"/>
    </row>
    <row r="20" spans="1:14" ht="18" customHeight="1">
      <c r="A20" s="1"/>
      <c r="B20" s="1"/>
      <c r="C20" s="1"/>
      <c r="D20" s="1"/>
      <c r="E20" s="1"/>
      <c r="F20" s="1"/>
      <c r="G20" s="1"/>
      <c r="H20" s="1"/>
      <c r="I20" s="1"/>
      <c r="J20" s="1"/>
      <c r="K20" s="1"/>
      <c r="L20" s="1"/>
      <c r="M20" s="1"/>
      <c r="N20" s="1"/>
    </row>
    <row r="21" spans="1:14" ht="18" customHeight="1">
      <c r="A21" s="1"/>
      <c r="B21" s="1"/>
      <c r="C21" s="1"/>
      <c r="D21" s="1"/>
      <c r="E21" s="1"/>
      <c r="F21" s="1"/>
      <c r="G21" s="1"/>
      <c r="H21" s="1"/>
      <c r="I21" s="1"/>
      <c r="J21" s="1"/>
      <c r="K21" s="1"/>
      <c r="L21" s="1"/>
      <c r="M21" s="1"/>
      <c r="N21" s="1"/>
    </row>
    <row r="22" spans="1:14" ht="18" customHeight="1">
      <c r="A22" s="1"/>
      <c r="B22" s="1"/>
      <c r="C22" s="1"/>
      <c r="D22" s="1"/>
      <c r="E22" s="1"/>
      <c r="F22" s="1"/>
      <c r="G22" s="1"/>
      <c r="H22" s="1"/>
      <c r="I22" s="1"/>
      <c r="J22" s="1"/>
      <c r="K22" s="1"/>
      <c r="L22" s="1"/>
      <c r="M22" s="1"/>
      <c r="N22" s="1"/>
    </row>
    <row r="23" spans="1:14" ht="18" customHeight="1">
      <c r="A23" s="1"/>
      <c r="B23" s="1"/>
      <c r="C23" s="1"/>
      <c r="D23" s="1"/>
      <c r="E23" s="1"/>
      <c r="F23" s="1"/>
      <c r="G23" s="1"/>
      <c r="H23" s="1"/>
      <c r="I23" s="1"/>
      <c r="J23" s="1"/>
      <c r="K23" s="1"/>
      <c r="L23" s="1"/>
      <c r="M23" s="1"/>
      <c r="N23" s="1"/>
    </row>
    <row r="24" spans="1:14" ht="18" customHeight="1">
      <c r="A24" s="1"/>
      <c r="B24" s="1"/>
      <c r="C24" s="1"/>
      <c r="D24" s="1"/>
      <c r="E24" s="1"/>
      <c r="F24" s="1"/>
      <c r="G24" s="1"/>
      <c r="H24" s="1"/>
      <c r="I24" s="1"/>
      <c r="J24" s="1"/>
      <c r="K24" s="1"/>
      <c r="L24" s="1"/>
      <c r="M24" s="1"/>
      <c r="N24" s="1"/>
    </row>
    <row r="25" spans="1:14" ht="18" customHeight="1">
      <c r="A25" s="1"/>
      <c r="B25" s="1"/>
      <c r="C25" s="1"/>
      <c r="D25" s="1"/>
      <c r="E25" s="1"/>
      <c r="F25" s="1"/>
      <c r="G25" s="1"/>
      <c r="H25" s="1"/>
      <c r="I25" s="1"/>
      <c r="J25" s="1"/>
      <c r="K25" s="1"/>
      <c r="L25" s="1"/>
      <c r="M25" s="1"/>
      <c r="N25" s="1"/>
    </row>
    <row r="26" spans="1:14" ht="18" customHeight="1">
      <c r="A26" s="1"/>
      <c r="B26" s="1"/>
      <c r="C26" s="1"/>
      <c r="D26" s="1"/>
      <c r="E26" s="1"/>
      <c r="F26" s="1"/>
      <c r="G26" s="1"/>
      <c r="H26" s="1"/>
      <c r="I26" s="1"/>
      <c r="J26" s="1"/>
      <c r="K26" s="1"/>
      <c r="L26" s="1"/>
      <c r="M26" s="1"/>
      <c r="N26" s="1"/>
    </row>
    <row r="27" spans="1:14" ht="18" customHeight="1">
      <c r="A27" s="1"/>
      <c r="B27" s="1"/>
      <c r="C27" s="1"/>
      <c r="D27" s="1"/>
      <c r="E27" s="1"/>
      <c r="F27" s="1"/>
      <c r="G27" s="1"/>
      <c r="H27" s="1"/>
      <c r="I27" s="1"/>
      <c r="J27" s="1"/>
      <c r="K27" s="1"/>
      <c r="L27" s="1"/>
      <c r="M27" s="1"/>
      <c r="N27" s="1"/>
    </row>
    <row r="28" spans="1:14" ht="18" customHeight="1">
      <c r="A28" s="1"/>
      <c r="B28" s="1"/>
      <c r="C28" s="1"/>
      <c r="D28" s="1"/>
      <c r="E28" s="1"/>
      <c r="F28" s="1"/>
      <c r="G28" s="1"/>
      <c r="H28" s="1"/>
      <c r="I28" s="1"/>
      <c r="J28" s="1"/>
      <c r="K28" s="1"/>
      <c r="L28" s="1"/>
      <c r="M28" s="1"/>
      <c r="N28" s="1"/>
    </row>
    <row r="29" spans="1:14" ht="18" customHeight="1">
      <c r="A29" s="1"/>
      <c r="B29" s="1"/>
      <c r="C29" s="1"/>
      <c r="D29" s="1"/>
      <c r="E29" s="1"/>
      <c r="F29" s="1"/>
      <c r="G29" s="1"/>
      <c r="H29" s="1"/>
      <c r="I29" s="1"/>
      <c r="J29" s="1"/>
      <c r="K29" s="1"/>
      <c r="L29" s="1"/>
      <c r="M29" s="1"/>
      <c r="N29" s="1"/>
    </row>
    <row r="30" spans="1:14" ht="18" customHeight="1">
      <c r="A30" s="1"/>
      <c r="B30" s="1"/>
      <c r="C30" s="1"/>
      <c r="D30" s="1"/>
      <c r="E30" s="1"/>
      <c r="F30" s="1"/>
      <c r="G30" s="1"/>
      <c r="H30" s="1"/>
      <c r="I30" s="1"/>
      <c r="J30" s="1"/>
      <c r="K30" s="1"/>
      <c r="L30" s="1"/>
      <c r="M30" s="1"/>
      <c r="N30" s="1"/>
    </row>
    <row r="31" spans="1:14" ht="18" customHeight="1">
      <c r="A31" s="1"/>
      <c r="B31" s="1"/>
      <c r="C31" s="1"/>
      <c r="D31" s="1"/>
      <c r="E31" s="1"/>
      <c r="F31" s="1"/>
      <c r="G31" s="1"/>
      <c r="H31" s="1"/>
      <c r="I31" s="1"/>
      <c r="J31" s="1"/>
      <c r="K31" s="1"/>
      <c r="L31" s="1"/>
      <c r="M31" s="1"/>
      <c r="N31" s="1"/>
    </row>
    <row r="32" spans="1:14" ht="18" customHeight="1">
      <c r="A32" s="1"/>
      <c r="B32" s="1"/>
      <c r="C32" s="1"/>
      <c r="D32" s="1"/>
      <c r="E32" s="1"/>
      <c r="F32" s="1"/>
      <c r="G32" s="1"/>
      <c r="H32" s="1"/>
      <c r="I32" s="1"/>
      <c r="J32" s="1"/>
      <c r="K32" s="1"/>
      <c r="L32" s="1"/>
      <c r="M32" s="1"/>
      <c r="N32" s="1"/>
    </row>
    <row r="33" spans="1:14" ht="18" customHeight="1">
      <c r="A33" s="1"/>
      <c r="B33" s="1"/>
      <c r="C33" s="1"/>
      <c r="D33" s="1"/>
      <c r="E33" s="1"/>
      <c r="F33" s="1"/>
      <c r="G33" s="1"/>
      <c r="H33" s="1"/>
      <c r="I33" s="1"/>
      <c r="J33" s="1"/>
      <c r="K33" s="1"/>
      <c r="L33" s="1"/>
      <c r="M33" s="1"/>
      <c r="N33" s="1"/>
    </row>
    <row r="34" spans="1:14" ht="18" customHeight="1">
      <c r="A34" s="1"/>
      <c r="B34" s="1"/>
      <c r="C34" s="1"/>
      <c r="D34" s="1"/>
      <c r="E34" s="1"/>
      <c r="F34" s="1"/>
      <c r="G34" s="1"/>
      <c r="H34" s="1"/>
      <c r="I34" s="1"/>
      <c r="J34" s="1"/>
      <c r="K34" s="1"/>
      <c r="L34" s="1"/>
      <c r="M34" s="1"/>
      <c r="N34" s="1"/>
    </row>
    <row r="35" spans="1:14" ht="18" customHeight="1">
      <c r="A35" s="1"/>
      <c r="B35" s="1"/>
      <c r="C35" s="1"/>
      <c r="D35" s="1"/>
      <c r="E35" s="1"/>
      <c r="F35" s="1"/>
      <c r="G35" s="1"/>
      <c r="H35" s="1"/>
      <c r="I35" s="1"/>
      <c r="J35" s="1"/>
      <c r="K35" s="1"/>
      <c r="L35" s="1"/>
      <c r="M35" s="1"/>
      <c r="N35" s="1"/>
    </row>
    <row r="36" spans="1:14" ht="18" customHeight="1">
      <c r="A36" s="1"/>
      <c r="B36" s="1"/>
      <c r="C36" s="1"/>
      <c r="D36" s="1"/>
      <c r="E36" s="1"/>
      <c r="F36" s="1"/>
      <c r="G36" s="1"/>
      <c r="H36" s="1"/>
      <c r="I36" s="1"/>
      <c r="J36" s="1"/>
      <c r="K36" s="1"/>
      <c r="L36" s="1"/>
      <c r="M36" s="1"/>
      <c r="N36" s="1"/>
    </row>
    <row r="37" spans="1:14" ht="18" customHeight="1">
      <c r="A37" s="1"/>
      <c r="B37" s="1"/>
      <c r="C37" s="1"/>
      <c r="D37" s="1"/>
      <c r="E37" s="1"/>
      <c r="F37" s="1"/>
      <c r="G37" s="1"/>
      <c r="H37" s="1"/>
      <c r="I37" s="1"/>
      <c r="J37" s="1"/>
      <c r="K37" s="1"/>
      <c r="L37" s="1"/>
      <c r="M37" s="1"/>
      <c r="N37" s="1"/>
    </row>
    <row r="38" spans="1:14" ht="18" customHeight="1">
      <c r="A38" s="1"/>
      <c r="B38" s="1"/>
      <c r="C38" s="1"/>
      <c r="D38" s="1"/>
      <c r="E38" s="1"/>
      <c r="F38" s="1"/>
      <c r="G38" s="1"/>
      <c r="H38" s="1"/>
      <c r="I38" s="1"/>
      <c r="J38" s="1"/>
      <c r="K38" s="1"/>
      <c r="L38" s="1"/>
      <c r="M38" s="1"/>
      <c r="N38" s="1"/>
    </row>
    <row r="39" spans="1:14" ht="18" customHeight="1">
      <c r="A39" s="1"/>
      <c r="B39" s="1"/>
      <c r="C39" s="1"/>
      <c r="D39" s="1"/>
      <c r="E39" s="1"/>
      <c r="F39" s="1"/>
      <c r="G39" s="1"/>
      <c r="H39" s="1"/>
      <c r="I39" s="1"/>
      <c r="J39" s="1"/>
      <c r="K39" s="1"/>
      <c r="L39" s="1"/>
      <c r="M39" s="1"/>
      <c r="N39" s="1"/>
    </row>
    <row r="40" spans="1:14" ht="18" customHeight="1">
      <c r="A40" s="1"/>
      <c r="B40" s="1"/>
      <c r="C40" s="1"/>
      <c r="D40" s="1"/>
      <c r="E40" s="1"/>
      <c r="F40" s="1"/>
      <c r="G40" s="1"/>
      <c r="H40" s="1"/>
      <c r="I40" s="1"/>
      <c r="J40" s="1"/>
      <c r="K40" s="1"/>
      <c r="L40" s="1"/>
      <c r="M40" s="1"/>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3">
    <mergeCell ref="B1:H2"/>
    <mergeCell ref="B4:G4"/>
    <mergeCell ref="B13:G18"/>
  </mergeCells>
  <phoneticPr fontId="13" type="noConversion"/>
  <conditionalFormatting sqref="C6:G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20"/>
  <sheetViews>
    <sheetView showGridLines="0" workbookViewId="0"/>
  </sheetViews>
  <sheetFormatPr defaultRowHeight="14.25"/>
  <cols>
    <col min="1" max="1" width="3" customWidth="1"/>
    <col min="2" max="2" width="42" customWidth="1"/>
    <col min="3" max="10" width="13" customWidth="1"/>
    <col min="11" max="11" width="3" customWidth="1"/>
    <col min="12" max="14" width="20" customWidth="1"/>
  </cols>
  <sheetData>
    <row r="1" spans="1:14" ht="18" customHeight="1">
      <c r="A1" s="1"/>
      <c r="B1" s="113" t="s">
        <v>343</v>
      </c>
      <c r="C1" s="113"/>
      <c r="D1" s="113"/>
      <c r="E1" s="113"/>
      <c r="F1" s="113"/>
      <c r="G1" s="113"/>
      <c r="H1" s="113"/>
      <c r="I1" s="1"/>
      <c r="J1" s="1"/>
      <c r="K1" s="1"/>
      <c r="L1" s="1"/>
      <c r="M1" s="1"/>
      <c r="N1" s="1"/>
    </row>
    <row r="2" spans="1:14" ht="18" customHeight="1">
      <c r="A2" s="1"/>
      <c r="B2" s="113"/>
      <c r="C2" s="113"/>
      <c r="D2" s="113"/>
      <c r="E2" s="113"/>
      <c r="F2" s="113"/>
      <c r="G2" s="113"/>
      <c r="H2" s="113"/>
      <c r="I2" s="1"/>
      <c r="J2" s="1"/>
      <c r="K2" s="1"/>
      <c r="L2" s="1"/>
      <c r="M2" s="1"/>
      <c r="N2" s="1"/>
    </row>
    <row r="3" spans="1:14" ht="18" customHeight="1">
      <c r="A3" s="1"/>
      <c r="B3" s="1"/>
      <c r="C3" s="1"/>
      <c r="D3" s="1"/>
      <c r="E3" s="1"/>
      <c r="F3" s="1"/>
      <c r="G3" s="1"/>
      <c r="H3" s="1"/>
      <c r="I3" s="1"/>
      <c r="J3" s="1"/>
      <c r="K3" s="1"/>
      <c r="L3" s="1"/>
      <c r="M3" s="1"/>
      <c r="N3" s="1"/>
    </row>
    <row r="4" spans="1:14" ht="18" customHeight="1">
      <c r="A4" s="1"/>
      <c r="B4" s="47" t="s">
        <v>344</v>
      </c>
      <c r="C4" s="48" t="s">
        <v>345</v>
      </c>
      <c r="D4" s="48" t="s">
        <v>346</v>
      </c>
      <c r="E4" s="48" t="s">
        <v>347</v>
      </c>
      <c r="F4" s="48" t="s">
        <v>348</v>
      </c>
      <c r="G4" s="49" t="s">
        <v>349</v>
      </c>
      <c r="H4" s="1"/>
      <c r="I4" s="1"/>
      <c r="J4" s="1"/>
      <c r="K4" s="1"/>
      <c r="L4" s="1"/>
      <c r="M4" s="1"/>
      <c r="N4" s="1"/>
    </row>
    <row r="5" spans="1:14" ht="18" customHeight="1">
      <c r="A5" s="1"/>
      <c r="B5" s="1"/>
      <c r="C5" s="1"/>
      <c r="D5" s="1"/>
      <c r="E5" s="1"/>
      <c r="F5" s="1"/>
      <c r="G5" s="1"/>
      <c r="H5" s="1"/>
      <c r="I5" s="1"/>
      <c r="J5" s="1"/>
      <c r="K5" s="1"/>
      <c r="L5" s="1"/>
      <c r="M5" s="1"/>
      <c r="N5" s="1"/>
    </row>
    <row r="6" spans="1:14" ht="18" customHeight="1">
      <c r="A6" s="1"/>
      <c r="B6" s="1" t="s">
        <v>350</v>
      </c>
      <c r="C6" s="72">
        <f>과거재무제표!D62</f>
        <v>0</v>
      </c>
      <c r="D6" s="72">
        <v>0</v>
      </c>
      <c r="E6" s="72">
        <f t="shared" ref="E6:E20" si="0">C6-D6</f>
        <v>0</v>
      </c>
      <c r="F6" s="72">
        <v>0.1</v>
      </c>
      <c r="G6" s="1" t="str">
        <f t="shared" ref="G6:G17" si="1">IF(ABS(E6)&lt;=F6,"정상","검토필요")</f>
        <v>정상</v>
      </c>
      <c r="H6" s="1"/>
      <c r="I6" s="1"/>
      <c r="J6" s="1"/>
      <c r="K6" s="1"/>
      <c r="L6" s="1"/>
      <c r="M6" s="1"/>
      <c r="N6" s="1"/>
    </row>
    <row r="7" spans="1:14" ht="18" customHeight="1">
      <c r="A7" s="1"/>
      <c r="B7" s="1" t="s">
        <v>351</v>
      </c>
      <c r="C7" s="72">
        <f>과거재무제표!E62</f>
        <v>0</v>
      </c>
      <c r="D7" s="72">
        <v>0</v>
      </c>
      <c r="E7" s="72">
        <f t="shared" si="0"/>
        <v>0</v>
      </c>
      <c r="F7" s="72">
        <v>0.1</v>
      </c>
      <c r="G7" s="1" t="str">
        <f t="shared" si="1"/>
        <v>정상</v>
      </c>
      <c r="H7" s="1"/>
      <c r="I7" s="1"/>
      <c r="J7" s="1"/>
      <c r="K7" s="1"/>
      <c r="L7" s="1"/>
      <c r="M7" s="1"/>
      <c r="N7" s="1"/>
    </row>
    <row r="8" spans="1:14" ht="18" customHeight="1">
      <c r="A8" s="1"/>
      <c r="B8" s="1" t="s">
        <v>352</v>
      </c>
      <c r="C8" s="72">
        <f>과거재무제표!F62</f>
        <v>0</v>
      </c>
      <c r="D8" s="72">
        <v>0</v>
      </c>
      <c r="E8" s="72">
        <f t="shared" si="0"/>
        <v>0</v>
      </c>
      <c r="F8" s="72">
        <v>0.1</v>
      </c>
      <c r="G8" s="1" t="str">
        <f t="shared" si="1"/>
        <v>정상</v>
      </c>
      <c r="H8" s="1"/>
      <c r="I8" s="1"/>
      <c r="J8" s="1"/>
      <c r="K8" s="1"/>
      <c r="L8" s="1"/>
      <c r="M8" s="1"/>
      <c r="N8" s="1"/>
    </row>
    <row r="9" spans="1:14" ht="18" customHeight="1">
      <c r="A9" s="1"/>
      <c r="B9" s="1" t="s">
        <v>353</v>
      </c>
      <c r="C9" s="72">
        <f>과거재무제표!D9-SUM(과거재무제표!D7:D8)</f>
        <v>0</v>
      </c>
      <c r="D9" s="72">
        <v>0</v>
      </c>
      <c r="E9" s="72">
        <f t="shared" si="0"/>
        <v>0</v>
      </c>
      <c r="F9" s="72">
        <v>0.1</v>
      </c>
      <c r="G9" s="1" t="str">
        <f t="shared" si="1"/>
        <v>정상</v>
      </c>
      <c r="H9" s="1"/>
      <c r="I9" s="1"/>
      <c r="J9" s="1"/>
      <c r="K9" s="1"/>
      <c r="L9" s="1"/>
      <c r="M9" s="1"/>
      <c r="N9" s="1"/>
    </row>
    <row r="10" spans="1:14" ht="18" customHeight="1">
      <c r="A10" s="1"/>
      <c r="B10" s="1" t="s">
        <v>354</v>
      </c>
      <c r="C10" s="72">
        <f>과거재무제표!E9-SUM(과거재무제표!E7:E8)</f>
        <v>0</v>
      </c>
      <c r="D10" s="72">
        <v>0</v>
      </c>
      <c r="E10" s="72">
        <f t="shared" si="0"/>
        <v>0</v>
      </c>
      <c r="F10" s="72">
        <v>0.1</v>
      </c>
      <c r="G10" s="1" t="str">
        <f t="shared" si="1"/>
        <v>정상</v>
      </c>
      <c r="H10" s="1"/>
      <c r="I10" s="1"/>
      <c r="J10" s="1"/>
      <c r="K10" s="1"/>
      <c r="L10" s="1"/>
      <c r="M10" s="1"/>
      <c r="N10" s="1"/>
    </row>
    <row r="11" spans="1:14" ht="18" customHeight="1">
      <c r="A11" s="1"/>
      <c r="B11" s="1" t="s">
        <v>355</v>
      </c>
      <c r="C11" s="72">
        <f>과거재무제표!F9-SUM(과거재무제표!F7:F8)</f>
        <v>0</v>
      </c>
      <c r="D11" s="72">
        <v>0</v>
      </c>
      <c r="E11" s="72">
        <f t="shared" si="0"/>
        <v>0</v>
      </c>
      <c r="F11" s="72">
        <v>0.1</v>
      </c>
      <c r="G11" s="1" t="str">
        <f t="shared" si="1"/>
        <v>정상</v>
      </c>
      <c r="H11" s="1"/>
      <c r="I11" s="1"/>
      <c r="J11" s="1"/>
      <c r="K11" s="1"/>
      <c r="L11" s="1"/>
      <c r="M11" s="1"/>
      <c r="N11" s="1"/>
    </row>
    <row r="12" spans="1:14" ht="18" customHeight="1">
      <c r="A12" s="1"/>
      <c r="B12" s="1" t="s">
        <v>356</v>
      </c>
      <c r="C12" s="72">
        <f>매출액추정!D15</f>
        <v>0</v>
      </c>
      <c r="D12" s="72">
        <v>0</v>
      </c>
      <c r="E12" s="72">
        <f t="shared" si="0"/>
        <v>0</v>
      </c>
      <c r="F12" s="72">
        <v>0.1</v>
      </c>
      <c r="G12" s="1" t="str">
        <f t="shared" si="1"/>
        <v>정상</v>
      </c>
      <c r="H12" s="1"/>
      <c r="I12" s="1"/>
      <c r="J12" s="1"/>
      <c r="K12" s="1"/>
      <c r="L12" s="1"/>
      <c r="M12" s="1"/>
      <c r="N12" s="1"/>
    </row>
    <row r="13" spans="1:14" ht="18" customHeight="1">
      <c r="A13" s="1"/>
      <c r="B13" s="1" t="s">
        <v>357</v>
      </c>
      <c r="C13" s="72">
        <f>매출액추정!E15</f>
        <v>0</v>
      </c>
      <c r="D13" s="72">
        <v>0</v>
      </c>
      <c r="E13" s="72">
        <f t="shared" si="0"/>
        <v>0</v>
      </c>
      <c r="F13" s="72">
        <v>0.1</v>
      </c>
      <c r="G13" s="1" t="str">
        <f t="shared" si="1"/>
        <v>정상</v>
      </c>
      <c r="H13" s="1"/>
      <c r="I13" s="1"/>
      <c r="J13" s="1"/>
      <c r="K13" s="1"/>
      <c r="L13" s="1"/>
      <c r="M13" s="1"/>
      <c r="N13" s="1"/>
    </row>
    <row r="14" spans="1:14" ht="18" customHeight="1">
      <c r="A14" s="1"/>
      <c r="B14" s="1" t="s">
        <v>358</v>
      </c>
      <c r="C14" s="72">
        <f>WACC!C19</f>
        <v>1</v>
      </c>
      <c r="D14" s="72">
        <v>1</v>
      </c>
      <c r="E14" s="72">
        <f t="shared" si="0"/>
        <v>0</v>
      </c>
      <c r="F14" s="72">
        <v>9.9999999999999995E-7</v>
      </c>
      <c r="G14" s="1" t="str">
        <f t="shared" si="1"/>
        <v>정상</v>
      </c>
      <c r="H14" s="1"/>
      <c r="I14" s="1"/>
      <c r="J14" s="1"/>
      <c r="K14" s="1"/>
      <c r="L14" s="1"/>
      <c r="M14" s="1"/>
      <c r="N14" s="1"/>
    </row>
    <row r="15" spans="1:14" ht="18" customHeight="1">
      <c r="A15" s="1"/>
      <c r="B15" s="1" t="s">
        <v>359</v>
      </c>
      <c r="C15" s="72">
        <f>DCF!C29-SUM(DCF!C27:C28)</f>
        <v>0</v>
      </c>
      <c r="D15" s="72">
        <v>0</v>
      </c>
      <c r="E15" s="72">
        <f t="shared" si="0"/>
        <v>0</v>
      </c>
      <c r="F15" s="72">
        <v>0.1</v>
      </c>
      <c r="G15" s="1" t="str">
        <f t="shared" si="1"/>
        <v>정상</v>
      </c>
      <c r="H15" s="1"/>
      <c r="I15" s="1"/>
      <c r="J15" s="1"/>
      <c r="K15" s="1"/>
      <c r="L15" s="1"/>
      <c r="M15" s="1"/>
      <c r="N15" s="1"/>
    </row>
    <row r="16" spans="1:14" ht="18" customHeight="1">
      <c r="A16" s="1"/>
      <c r="B16" s="1" t="s">
        <v>360</v>
      </c>
      <c r="C16" s="72">
        <f>'FDD 조정'!E13-SUM('FDD 조정'!E6:E12)</f>
        <v>0</v>
      </c>
      <c r="D16" s="72">
        <v>0</v>
      </c>
      <c r="E16" s="72">
        <f t="shared" si="0"/>
        <v>0</v>
      </c>
      <c r="F16" s="72">
        <v>0.1</v>
      </c>
      <c r="G16" s="1" t="str">
        <f t="shared" si="1"/>
        <v>정상</v>
      </c>
      <c r="H16" s="1"/>
      <c r="I16" s="1"/>
      <c r="J16" s="1"/>
      <c r="K16" s="1"/>
      <c r="L16" s="1"/>
      <c r="M16" s="1"/>
      <c r="N16" s="1"/>
    </row>
    <row r="17" spans="1:14" ht="18" customHeight="1">
      <c r="A17" s="1"/>
      <c r="B17" s="1" t="s">
        <v>361</v>
      </c>
      <c r="C17" s="72">
        <f>'FDD 조정'!E57-('FDD 조정'!E56-'FDD 조정'!E47)</f>
        <v>0</v>
      </c>
      <c r="D17" s="72">
        <v>0</v>
      </c>
      <c r="E17" s="72">
        <f t="shared" si="0"/>
        <v>0</v>
      </c>
      <c r="F17" s="72">
        <v>0.1</v>
      </c>
      <c r="G17" s="1" t="str">
        <f t="shared" si="1"/>
        <v>정상</v>
      </c>
      <c r="H17" s="1"/>
      <c r="I17" s="1"/>
      <c r="J17" s="1"/>
      <c r="K17" s="1"/>
      <c r="L17" s="1"/>
      <c r="M17" s="1"/>
      <c r="N17" s="1"/>
    </row>
    <row r="18" spans="1:14" ht="18" customHeight="1">
      <c r="A18" s="1"/>
      <c r="B18" s="1" t="s">
        <v>362</v>
      </c>
      <c r="C18" s="72">
        <f>'FDD 조정'!E71-(-'FDD 조정'!E57+'FDD 조정'!E68-'FDD 조정'!E69+'FDD 조정'!E70)</f>
        <v>0</v>
      </c>
      <c r="D18" s="72">
        <v>0</v>
      </c>
      <c r="E18" s="72">
        <f t="shared" si="0"/>
        <v>0</v>
      </c>
      <c r="F18" s="72">
        <v>0.1</v>
      </c>
      <c r="G18" s="1" t="str">
        <f>IF(ABS(E18)&lt;=F18,"정상","검토필요")</f>
        <v>정상</v>
      </c>
      <c r="H18" s="1"/>
      <c r="I18" s="1"/>
      <c r="J18" s="1"/>
      <c r="K18" s="1"/>
      <c r="L18" s="1"/>
      <c r="M18" s="1"/>
      <c r="N18" s="1"/>
    </row>
    <row r="19" spans="1:14" ht="18" customHeight="1">
      <c r="A19" s="1"/>
      <c r="B19" s="1" t="s">
        <v>363</v>
      </c>
      <c r="C19" s="72">
        <f>기업가치_지분가치!C27-SUM(기업가치_지분가치!C5,기업가치_지분가치!C26)</f>
        <v>0</v>
      </c>
      <c r="D19" s="72">
        <v>0</v>
      </c>
      <c r="E19" s="72">
        <f t="shared" si="0"/>
        <v>0</v>
      </c>
      <c r="F19" s="72">
        <v>0.1</v>
      </c>
      <c r="G19" s="1" t="str">
        <f>IF(ABS(E19)&lt;=F19,"정상","검토필요")</f>
        <v>정상</v>
      </c>
      <c r="H19" s="1"/>
      <c r="I19" s="1"/>
      <c r="J19" s="1"/>
      <c r="K19" s="1"/>
      <c r="L19" s="1"/>
      <c r="M19" s="1"/>
      <c r="N19" s="1"/>
    </row>
    <row r="20" spans="1:14" ht="18" customHeight="1">
      <c r="A20" s="1"/>
      <c r="B20" s="1" t="s">
        <v>364</v>
      </c>
      <c r="C20" s="73">
        <f>WACC!C20</f>
        <v>9.4776249999999992E-2</v>
      </c>
      <c r="D20" s="73">
        <f>가정!C37</f>
        <v>0.02</v>
      </c>
      <c r="E20" s="73">
        <f t="shared" si="0"/>
        <v>7.4776249999999989E-2</v>
      </c>
      <c r="F20" s="42">
        <v>0</v>
      </c>
      <c r="G20" s="1" t="str">
        <f>IF(C20&gt;D20,"정상","검토필요")</f>
        <v>정상</v>
      </c>
      <c r="H20" s="1"/>
      <c r="I20" s="1"/>
      <c r="J20" s="1"/>
      <c r="K20" s="1"/>
      <c r="L20" s="1"/>
      <c r="M20" s="1"/>
      <c r="N20" s="1"/>
    </row>
    <row r="21" spans="1:14" ht="18" customHeight="1">
      <c r="A21" s="1"/>
      <c r="B21" s="1" t="s">
        <v>365</v>
      </c>
      <c r="C21" s="73">
        <f>DCF!C30</f>
        <v>0.74767595679067578</v>
      </c>
      <c r="D21" s="73">
        <v>0.85</v>
      </c>
      <c r="E21" s="73">
        <f>C21-D21</f>
        <v>-0.1023240432093242</v>
      </c>
      <c r="F21" s="1">
        <v>0</v>
      </c>
      <c r="G21" s="1" t="str">
        <f>IF(C21&lt;=D21,"정상","검토필요")</f>
        <v>정상</v>
      </c>
      <c r="H21" s="1"/>
      <c r="I21" s="1"/>
      <c r="J21" s="1"/>
      <c r="K21" s="1"/>
      <c r="L21" s="1"/>
      <c r="M21" s="1"/>
      <c r="N21" s="1"/>
    </row>
    <row r="22" spans="1:14" ht="18" customHeight="1">
      <c r="A22" s="1"/>
      <c r="B22" s="2" t="s">
        <v>366</v>
      </c>
      <c r="C22" s="2">
        <f>COUNT(DCF!C15:G15)</f>
        <v>5</v>
      </c>
      <c r="D22" s="1">
        <v>5</v>
      </c>
      <c r="E22" s="1">
        <f>C22-D22</f>
        <v>0</v>
      </c>
      <c r="F22" s="1">
        <v>0</v>
      </c>
      <c r="G22" s="1" t="str">
        <f>IF(C22=D22,"정상","검토필요")</f>
        <v>정상</v>
      </c>
      <c r="H22" s="1"/>
      <c r="I22" s="1"/>
      <c r="J22" s="1"/>
      <c r="K22" s="1"/>
      <c r="L22" s="1"/>
      <c r="M22" s="1"/>
      <c r="N22" s="1"/>
    </row>
    <row r="23" spans="1:14" ht="18" customHeight="1">
      <c r="A23" s="1"/>
      <c r="B23" s="1"/>
      <c r="C23" s="1"/>
      <c r="D23" s="1"/>
      <c r="E23" s="1"/>
      <c r="F23" s="1"/>
      <c r="G23" s="1"/>
      <c r="H23" s="1"/>
      <c r="I23" s="1"/>
      <c r="J23" s="1"/>
      <c r="K23" s="1"/>
      <c r="L23" s="1"/>
      <c r="M23" s="1"/>
      <c r="N23" s="1"/>
    </row>
    <row r="24" spans="1:14" ht="18" customHeight="1">
      <c r="A24" s="1"/>
      <c r="B24" s="114" t="s">
        <v>367</v>
      </c>
      <c r="C24" s="114"/>
      <c r="D24" s="114"/>
      <c r="E24" s="114"/>
      <c r="F24" s="114"/>
      <c r="G24" s="114"/>
      <c r="H24" s="1"/>
      <c r="I24" s="1"/>
      <c r="J24" s="1"/>
      <c r="K24" s="1"/>
      <c r="L24" s="1"/>
      <c r="M24" s="1"/>
      <c r="N24" s="1"/>
    </row>
    <row r="25" spans="1:14" ht="18" customHeight="1">
      <c r="A25" s="1"/>
      <c r="B25" s="92" t="s">
        <v>368</v>
      </c>
      <c r="C25" s="92" t="str">
        <f>IF(COUNTIF(G6:G22,"&lt;&gt;정상")=0,"정상","검토필요")</f>
        <v>정상</v>
      </c>
      <c r="D25" s="92"/>
      <c r="E25" s="92"/>
      <c r="F25" s="92"/>
      <c r="G25" s="92"/>
      <c r="H25" s="1"/>
      <c r="I25" s="1"/>
      <c r="J25" s="1"/>
      <c r="K25" s="1"/>
      <c r="L25" s="1"/>
      <c r="M25" s="1"/>
      <c r="N25" s="1"/>
    </row>
    <row r="26" spans="1:14" ht="18" customHeight="1">
      <c r="A26" s="1"/>
      <c r="B26" s="92"/>
      <c r="C26" s="92"/>
      <c r="D26" s="92"/>
      <c r="E26" s="92"/>
      <c r="F26" s="92"/>
      <c r="G26" s="92"/>
      <c r="H26" s="1"/>
      <c r="I26" s="1"/>
      <c r="J26" s="1"/>
      <c r="K26" s="1"/>
      <c r="L26" s="1"/>
      <c r="M26" s="1"/>
      <c r="N26" s="1"/>
    </row>
    <row r="27" spans="1:14" ht="18" customHeight="1">
      <c r="A27" s="1"/>
      <c r="B27" s="112" t="s">
        <v>369</v>
      </c>
      <c r="C27" s="112"/>
      <c r="D27" s="112"/>
      <c r="E27" s="112"/>
      <c r="F27" s="112"/>
      <c r="G27" s="112"/>
      <c r="H27" s="1"/>
      <c r="I27" s="1"/>
      <c r="J27" s="1"/>
      <c r="K27" s="1"/>
      <c r="L27" s="1"/>
      <c r="M27" s="1"/>
      <c r="N27" s="1"/>
    </row>
    <row r="28" spans="1:14" ht="18" customHeight="1">
      <c r="A28" s="1"/>
      <c r="B28" s="112"/>
      <c r="C28" s="112"/>
      <c r="D28" s="112"/>
      <c r="E28" s="112"/>
      <c r="F28" s="112"/>
      <c r="G28" s="112"/>
      <c r="H28" s="1"/>
      <c r="I28" s="1"/>
      <c r="J28" s="1"/>
      <c r="K28" s="1"/>
      <c r="L28" s="1"/>
      <c r="M28" s="1"/>
      <c r="N28" s="1"/>
    </row>
    <row r="29" spans="1:14" ht="18" customHeight="1">
      <c r="A29" s="1"/>
      <c r="B29" s="71"/>
      <c r="C29" s="71"/>
      <c r="D29" s="71"/>
      <c r="E29" s="71"/>
      <c r="F29" s="71"/>
      <c r="G29" s="71"/>
      <c r="H29" s="1"/>
      <c r="I29" s="1"/>
      <c r="J29" s="1"/>
      <c r="K29" s="1"/>
      <c r="L29" s="1"/>
      <c r="M29" s="1"/>
      <c r="N29" s="1"/>
    </row>
    <row r="30" spans="1:14" ht="18" customHeight="1">
      <c r="A30" s="1"/>
      <c r="B30" s="71"/>
      <c r="C30" s="71"/>
      <c r="D30" s="71"/>
      <c r="E30" s="71"/>
      <c r="F30" s="71"/>
      <c r="G30" s="71"/>
      <c r="H30" s="1"/>
      <c r="I30" s="1"/>
      <c r="J30" s="1"/>
      <c r="K30" s="1"/>
      <c r="L30" s="1"/>
      <c r="M30" s="1"/>
      <c r="N30" s="1"/>
    </row>
    <row r="31" spans="1:14" ht="18" customHeight="1">
      <c r="A31" s="1"/>
      <c r="B31" s="1"/>
      <c r="C31" s="1"/>
      <c r="D31" s="1"/>
      <c r="E31" s="1"/>
      <c r="F31" s="1"/>
      <c r="G31" s="1"/>
      <c r="H31" s="1"/>
      <c r="I31" s="1"/>
      <c r="J31" s="1"/>
      <c r="K31" s="1"/>
      <c r="L31" s="1"/>
      <c r="M31" s="1"/>
      <c r="N31" s="1"/>
    </row>
    <row r="32" spans="1:14" ht="18" customHeight="1">
      <c r="A32" s="1"/>
      <c r="B32" s="1"/>
      <c r="C32" s="1"/>
      <c r="D32" s="1"/>
      <c r="E32" s="1"/>
      <c r="F32" s="1"/>
      <c r="G32" s="1"/>
      <c r="H32" s="1"/>
      <c r="I32" s="1"/>
      <c r="J32" s="1"/>
      <c r="K32" s="1"/>
      <c r="L32" s="1"/>
      <c r="M32" s="1"/>
      <c r="N32" s="1"/>
    </row>
    <row r="33" spans="1:14" ht="18" customHeight="1">
      <c r="A33" s="1"/>
      <c r="B33" s="1"/>
      <c r="C33" s="1"/>
      <c r="D33" s="1"/>
      <c r="E33" s="1"/>
      <c r="F33" s="1"/>
      <c r="G33" s="1"/>
      <c r="H33" s="1"/>
      <c r="I33" s="1"/>
      <c r="J33" s="1"/>
      <c r="K33" s="1"/>
      <c r="L33" s="1"/>
      <c r="M33" s="1"/>
      <c r="N33" s="1"/>
    </row>
    <row r="34" spans="1:14" ht="18" customHeight="1">
      <c r="A34" s="1"/>
      <c r="B34" s="1"/>
      <c r="C34" s="1"/>
      <c r="D34" s="1"/>
      <c r="E34" s="1"/>
      <c r="F34" s="1"/>
      <c r="G34" s="1"/>
      <c r="H34" s="1"/>
      <c r="I34" s="1"/>
      <c r="J34" s="1"/>
      <c r="K34" s="1"/>
      <c r="L34" s="1"/>
      <c r="M34" s="1"/>
      <c r="N34" s="1"/>
    </row>
    <row r="35" spans="1:14" ht="18" customHeight="1">
      <c r="A35" s="1"/>
      <c r="B35" s="1"/>
      <c r="C35" s="1"/>
      <c r="D35" s="1"/>
      <c r="E35" s="1"/>
      <c r="F35" s="1"/>
      <c r="G35" s="1"/>
      <c r="H35" s="1"/>
      <c r="I35" s="1"/>
      <c r="J35" s="1"/>
      <c r="K35" s="1"/>
      <c r="L35" s="1"/>
      <c r="M35" s="1"/>
      <c r="N35" s="1"/>
    </row>
    <row r="36" spans="1:14" ht="18" customHeight="1">
      <c r="A36" s="1"/>
      <c r="B36" s="1"/>
      <c r="C36" s="1"/>
      <c r="D36" s="1"/>
      <c r="E36" s="1"/>
      <c r="F36" s="1"/>
      <c r="G36" s="1"/>
      <c r="H36" s="1"/>
      <c r="I36" s="1"/>
      <c r="J36" s="1"/>
      <c r="K36" s="1"/>
      <c r="L36" s="1"/>
      <c r="M36" s="1"/>
      <c r="N36" s="1"/>
    </row>
    <row r="37" spans="1:14" ht="18" customHeight="1">
      <c r="A37" s="1"/>
      <c r="B37" s="1"/>
      <c r="C37" s="1"/>
      <c r="D37" s="1"/>
      <c r="E37" s="1"/>
      <c r="F37" s="1"/>
      <c r="G37" s="1"/>
      <c r="H37" s="1"/>
      <c r="I37" s="1"/>
      <c r="J37" s="1"/>
      <c r="K37" s="1"/>
      <c r="L37" s="1"/>
      <c r="M37" s="1"/>
      <c r="N37" s="1"/>
    </row>
    <row r="38" spans="1:14" ht="18" customHeight="1">
      <c r="A38" s="1"/>
      <c r="B38" s="1"/>
      <c r="C38" s="1"/>
      <c r="D38" s="1"/>
      <c r="E38" s="1"/>
      <c r="F38" s="1"/>
      <c r="G38" s="1"/>
      <c r="H38" s="1"/>
      <c r="I38" s="1"/>
      <c r="J38" s="1"/>
      <c r="K38" s="1"/>
      <c r="L38" s="1"/>
      <c r="M38" s="1"/>
      <c r="N38" s="1"/>
    </row>
    <row r="39" spans="1:14" ht="18" customHeight="1">
      <c r="A39" s="1"/>
      <c r="B39" s="1"/>
      <c r="C39" s="1"/>
      <c r="D39" s="1"/>
      <c r="E39" s="1"/>
      <c r="F39" s="1"/>
      <c r="G39" s="1"/>
      <c r="H39" s="1"/>
      <c r="I39" s="1"/>
      <c r="J39" s="1"/>
      <c r="K39" s="1"/>
      <c r="L39" s="1"/>
      <c r="M39" s="1"/>
      <c r="N39" s="1"/>
    </row>
    <row r="40" spans="1:14" ht="18" customHeight="1">
      <c r="A40" s="1"/>
      <c r="B40" s="1"/>
      <c r="C40" s="1"/>
      <c r="D40" s="1"/>
      <c r="E40" s="1"/>
      <c r="F40" s="1"/>
      <c r="G40" s="1"/>
      <c r="H40" s="1"/>
      <c r="I40" s="1"/>
      <c r="J40" s="1"/>
      <c r="K40" s="1"/>
      <c r="L40" s="1"/>
      <c r="M40" s="1"/>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2">
    <mergeCell ref="B1:H2"/>
    <mergeCell ref="B24:G28"/>
  </mergeCells>
  <phoneticPr fontId="13" type="noConversion"/>
  <conditionalFormatting sqref="C22">
    <cfRule type="containsText" dxfId="8" priority="3" operator="containsText" text="OK"/>
    <cfRule type="containsText" dxfId="7" priority="4" operator="containsText" text="REVIEW"/>
    <cfRule type="containsText" dxfId="6" priority="7" operator="containsText" text="정상"/>
    <cfRule type="containsText" dxfId="5" priority="8" operator="containsText" text="검토필요"/>
  </conditionalFormatting>
  <conditionalFormatting sqref="G6:G20">
    <cfRule type="containsText" dxfId="4" priority="1" operator="containsText" text="OK"/>
    <cfRule type="containsText" dxfId="3" priority="2" operator="containsText" text="REVIEW"/>
    <cfRule type="containsText" dxfId="2" priority="5" operator="containsText" text="정상"/>
    <cfRule type="containsText" dxfId="1" priority="6" operator="containsText" text="검토필요"/>
  </conditionalFormatting>
  <conditionalFormatting sqref="G6:G22">
    <cfRule type="containsText" dxfId="0" priority="9" operator="containsText" text="검토필요"/>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20"/>
  <sheetViews>
    <sheetView showGridLines="0" topLeftCell="A10" workbookViewId="0"/>
  </sheetViews>
  <sheetFormatPr defaultRowHeight="14.25"/>
  <cols>
    <col min="1" max="1" width="3" customWidth="1"/>
    <col min="2" max="2" width="10" customWidth="1"/>
    <col min="3" max="3" width="39" customWidth="1"/>
    <col min="4" max="5" width="20" customWidth="1"/>
    <col min="6" max="6" width="34" customWidth="1"/>
    <col min="7" max="7" width="25" customWidth="1"/>
    <col min="8" max="8" width="30" customWidth="1"/>
    <col min="9" max="9" width="45" customWidth="1"/>
    <col min="10" max="10" width="13" customWidth="1"/>
    <col min="11" max="11" width="3" customWidth="1"/>
    <col min="12" max="14" width="20" customWidth="1"/>
  </cols>
  <sheetData>
    <row r="1" spans="1:14" ht="18" customHeight="1">
      <c r="A1" s="1"/>
      <c r="B1" s="90" t="s">
        <v>370</v>
      </c>
      <c r="C1" s="90" t="s">
        <v>370</v>
      </c>
      <c r="D1" s="90" t="s">
        <v>370</v>
      </c>
      <c r="E1" s="90" t="s">
        <v>370</v>
      </c>
      <c r="F1" s="90" t="s">
        <v>370</v>
      </c>
      <c r="G1" s="90" t="s">
        <v>370</v>
      </c>
      <c r="H1" s="90" t="s">
        <v>370</v>
      </c>
      <c r="I1" s="90" t="s">
        <v>370</v>
      </c>
      <c r="J1" s="90" t="s">
        <v>370</v>
      </c>
      <c r="K1" s="90" t="s">
        <v>370</v>
      </c>
      <c r="L1" s="90" t="s">
        <v>370</v>
      </c>
      <c r="M1" s="90" t="s">
        <v>370</v>
      </c>
      <c r="N1" s="90" t="s">
        <v>370</v>
      </c>
    </row>
    <row r="2" spans="1:14" ht="18" customHeight="1">
      <c r="A2" s="1"/>
      <c r="B2" s="90" t="s">
        <v>370</v>
      </c>
      <c r="C2" s="90" t="s">
        <v>370</v>
      </c>
      <c r="D2" s="90" t="s">
        <v>370</v>
      </c>
      <c r="E2" s="90" t="s">
        <v>370</v>
      </c>
      <c r="F2" s="90" t="s">
        <v>370</v>
      </c>
      <c r="G2" s="90" t="s">
        <v>370</v>
      </c>
      <c r="H2" s="90" t="s">
        <v>370</v>
      </c>
      <c r="I2" s="90" t="s">
        <v>370</v>
      </c>
      <c r="J2" s="90" t="s">
        <v>370</v>
      </c>
      <c r="K2" s="90" t="s">
        <v>370</v>
      </c>
      <c r="L2" s="90" t="s">
        <v>370</v>
      </c>
      <c r="M2" s="90" t="s">
        <v>370</v>
      </c>
      <c r="N2" s="90" t="s">
        <v>370</v>
      </c>
    </row>
    <row r="3" spans="1:14" ht="18" customHeight="1">
      <c r="A3" s="1"/>
      <c r="B3" s="1"/>
      <c r="C3" s="1"/>
      <c r="D3" s="1"/>
      <c r="E3" s="1"/>
      <c r="F3" s="1"/>
      <c r="G3" s="1"/>
      <c r="H3" s="1"/>
      <c r="I3" s="1"/>
      <c r="J3" s="1"/>
      <c r="K3" s="1"/>
      <c r="L3" s="1"/>
      <c r="M3" s="1"/>
      <c r="N3" s="1"/>
    </row>
    <row r="4" spans="1:14" ht="18" customHeight="1">
      <c r="A4" s="1"/>
      <c r="B4" s="2" t="s">
        <v>371</v>
      </c>
      <c r="C4" s="2" t="s">
        <v>142</v>
      </c>
      <c r="D4" s="2" t="s">
        <v>372</v>
      </c>
      <c r="E4" s="2" t="s">
        <v>144</v>
      </c>
      <c r="F4" s="2" t="s">
        <v>143</v>
      </c>
      <c r="G4" s="2" t="s">
        <v>373</v>
      </c>
      <c r="H4" s="2" t="s">
        <v>374</v>
      </c>
      <c r="I4" s="2" t="s">
        <v>375</v>
      </c>
      <c r="J4" s="1"/>
      <c r="K4" s="1"/>
      <c r="L4" s="1"/>
      <c r="M4" s="1"/>
      <c r="N4" s="1"/>
    </row>
    <row r="5" spans="1:14" ht="18" customHeight="1">
      <c r="A5" s="1"/>
      <c r="B5" s="20" t="s">
        <v>148</v>
      </c>
      <c r="C5" s="20" t="s">
        <v>146</v>
      </c>
      <c r="D5" s="20" t="s">
        <v>376</v>
      </c>
      <c r="E5" s="20" t="s">
        <v>377</v>
      </c>
      <c r="F5" s="20" t="s">
        <v>378</v>
      </c>
      <c r="G5" s="20" t="s">
        <v>379</v>
      </c>
      <c r="H5" s="20" t="s">
        <v>380</v>
      </c>
      <c r="I5" s="20" t="s">
        <v>381</v>
      </c>
      <c r="J5" s="1"/>
      <c r="K5" s="1"/>
      <c r="L5" s="1"/>
      <c r="M5" s="1"/>
      <c r="N5" s="1"/>
    </row>
    <row r="6" spans="1:14" ht="18" customHeight="1">
      <c r="A6" s="1"/>
      <c r="B6" s="20" t="s">
        <v>175</v>
      </c>
      <c r="C6" s="20" t="s">
        <v>382</v>
      </c>
      <c r="D6" s="20" t="s">
        <v>376</v>
      </c>
      <c r="E6" s="20" t="s">
        <v>383</v>
      </c>
      <c r="F6" s="20" t="s">
        <v>384</v>
      </c>
      <c r="G6" s="20" t="s">
        <v>385</v>
      </c>
      <c r="H6" s="20" t="s">
        <v>386</v>
      </c>
      <c r="I6" s="20" t="s">
        <v>381</v>
      </c>
      <c r="J6" s="1"/>
      <c r="K6" s="1"/>
      <c r="L6" s="1"/>
      <c r="M6" s="1"/>
      <c r="N6" s="1"/>
    </row>
    <row r="7" spans="1:14" ht="18" customHeight="1">
      <c r="A7" s="1"/>
      <c r="B7" s="20" t="s">
        <v>187</v>
      </c>
      <c r="C7" s="20" t="s">
        <v>387</v>
      </c>
      <c r="D7" s="20" t="s">
        <v>388</v>
      </c>
      <c r="E7" s="20" t="s">
        <v>377</v>
      </c>
      <c r="F7" s="20" t="s">
        <v>384</v>
      </c>
      <c r="G7" s="20" t="s">
        <v>389</v>
      </c>
      <c r="H7" s="20" t="s">
        <v>390</v>
      </c>
      <c r="I7" s="20" t="s">
        <v>381</v>
      </c>
      <c r="J7" s="1"/>
      <c r="K7" s="1"/>
      <c r="L7" s="1"/>
      <c r="M7" s="1"/>
      <c r="N7" s="1"/>
    </row>
    <row r="8" spans="1:14" ht="18" customHeight="1">
      <c r="A8" s="1"/>
      <c r="B8" s="20" t="s">
        <v>202</v>
      </c>
      <c r="C8" s="20" t="s">
        <v>324</v>
      </c>
      <c r="D8" s="20" t="s">
        <v>391</v>
      </c>
      <c r="E8" s="20" t="s">
        <v>149</v>
      </c>
      <c r="F8" s="20" t="s">
        <v>384</v>
      </c>
      <c r="G8" s="20" t="s">
        <v>392</v>
      </c>
      <c r="H8" s="20" t="s">
        <v>51</v>
      </c>
      <c r="I8" s="20" t="s">
        <v>381</v>
      </c>
      <c r="J8" s="1"/>
      <c r="K8" s="1"/>
      <c r="L8" s="1"/>
      <c r="M8" s="1"/>
      <c r="N8" s="1"/>
    </row>
    <row r="9" spans="1:14" ht="18" customHeight="1">
      <c r="A9" s="1"/>
      <c r="B9" s="20" t="s">
        <v>208</v>
      </c>
      <c r="C9" s="20" t="s">
        <v>393</v>
      </c>
      <c r="D9" s="20" t="s">
        <v>391</v>
      </c>
      <c r="E9" s="20" t="s">
        <v>394</v>
      </c>
      <c r="F9" s="20" t="s">
        <v>384</v>
      </c>
      <c r="G9" s="20" t="s">
        <v>395</v>
      </c>
      <c r="H9" s="20" t="s">
        <v>396</v>
      </c>
      <c r="I9" s="20" t="s">
        <v>381</v>
      </c>
      <c r="J9" s="1"/>
      <c r="K9" s="1"/>
      <c r="L9" s="1"/>
      <c r="M9" s="1"/>
      <c r="N9" s="1"/>
    </row>
    <row r="10" spans="1:14" ht="18" customHeight="1">
      <c r="A10" s="1"/>
      <c r="B10" s="20" t="s">
        <v>228</v>
      </c>
      <c r="C10" s="20" t="s">
        <v>397</v>
      </c>
      <c r="D10" s="20" t="s">
        <v>398</v>
      </c>
      <c r="E10" s="20" t="s">
        <v>229</v>
      </c>
      <c r="F10" s="20" t="s">
        <v>384</v>
      </c>
      <c r="G10" s="20" t="s">
        <v>399</v>
      </c>
      <c r="H10" s="20" t="s">
        <v>400</v>
      </c>
      <c r="I10" s="20" t="s">
        <v>381</v>
      </c>
      <c r="J10" s="1"/>
      <c r="K10" s="1"/>
      <c r="L10" s="1"/>
      <c r="M10" s="1"/>
      <c r="N10" s="1"/>
    </row>
    <row r="11" spans="1:14" ht="18" customHeight="1">
      <c r="A11" s="1"/>
      <c r="B11" s="20" t="s">
        <v>232</v>
      </c>
      <c r="C11" s="20" t="s">
        <v>401</v>
      </c>
      <c r="D11" s="20" t="s">
        <v>402</v>
      </c>
      <c r="E11" s="20" t="s">
        <v>233</v>
      </c>
      <c r="F11" s="20" t="s">
        <v>384</v>
      </c>
      <c r="G11" s="20" t="s">
        <v>403</v>
      </c>
      <c r="H11" s="20" t="s">
        <v>404</v>
      </c>
      <c r="I11" s="20" t="s">
        <v>381</v>
      </c>
      <c r="J11" s="1"/>
      <c r="K11" s="1"/>
      <c r="L11" s="1"/>
      <c r="M11" s="1"/>
      <c r="N11" s="1"/>
    </row>
    <row r="12" spans="1:14" ht="18" customHeight="1">
      <c r="A12" s="1"/>
      <c r="B12" s="20" t="s">
        <v>237</v>
      </c>
      <c r="C12" s="20" t="s">
        <v>235</v>
      </c>
      <c r="D12" s="20" t="s">
        <v>405</v>
      </c>
      <c r="E12" s="20" t="s">
        <v>394</v>
      </c>
      <c r="F12" s="20" t="s">
        <v>384</v>
      </c>
      <c r="G12" s="20" t="s">
        <v>406</v>
      </c>
      <c r="H12" s="20" t="s">
        <v>407</v>
      </c>
      <c r="I12" s="20" t="s">
        <v>381</v>
      </c>
      <c r="J12" s="1"/>
      <c r="K12" s="1"/>
      <c r="L12" s="1"/>
      <c r="M12" s="1"/>
      <c r="N12" s="1"/>
    </row>
    <row r="13" spans="1:14" ht="18" customHeight="1">
      <c r="A13" s="1"/>
      <c r="B13" s="20" t="s">
        <v>408</v>
      </c>
      <c r="C13" s="20" t="s">
        <v>409</v>
      </c>
      <c r="D13" s="20" t="s">
        <v>410</v>
      </c>
      <c r="E13" s="20" t="s">
        <v>411</v>
      </c>
      <c r="F13" s="20" t="s">
        <v>384</v>
      </c>
      <c r="G13" s="20" t="s">
        <v>412</v>
      </c>
      <c r="H13" s="20" t="s">
        <v>413</v>
      </c>
      <c r="I13" s="20" t="s">
        <v>381</v>
      </c>
      <c r="J13" s="1"/>
      <c r="K13" s="1"/>
      <c r="L13" s="1"/>
      <c r="M13" s="1"/>
      <c r="N13" s="1"/>
    </row>
    <row r="14" spans="1:14" ht="18" customHeight="1">
      <c r="A14" s="1"/>
      <c r="B14" s="20" t="s">
        <v>414</v>
      </c>
      <c r="C14" s="20" t="s">
        <v>415</v>
      </c>
      <c r="D14" s="20" t="s">
        <v>416</v>
      </c>
      <c r="E14" s="20" t="s">
        <v>417</v>
      </c>
      <c r="F14" s="20" t="s">
        <v>418</v>
      </c>
      <c r="G14" s="20" t="s">
        <v>419</v>
      </c>
      <c r="H14" s="20" t="s">
        <v>420</v>
      </c>
      <c r="I14" s="20" t="s">
        <v>421</v>
      </c>
      <c r="J14" s="1"/>
      <c r="K14" s="1"/>
      <c r="L14" s="1"/>
      <c r="M14" s="1"/>
      <c r="N14" s="1"/>
    </row>
    <row r="15" spans="1:14" ht="18" customHeight="1">
      <c r="A15" s="1"/>
      <c r="B15" s="20" t="s">
        <v>422</v>
      </c>
      <c r="C15" s="20" t="s">
        <v>423</v>
      </c>
      <c r="D15" s="20" t="s">
        <v>416</v>
      </c>
      <c r="E15" s="20" t="s">
        <v>417</v>
      </c>
      <c r="F15" s="20" t="s">
        <v>418</v>
      </c>
      <c r="G15" s="20" t="s">
        <v>424</v>
      </c>
      <c r="H15" s="20" t="s">
        <v>425</v>
      </c>
      <c r="I15" s="20" t="s">
        <v>426</v>
      </c>
      <c r="J15" s="1"/>
      <c r="K15" s="1"/>
      <c r="L15" s="1"/>
      <c r="M15" s="1"/>
      <c r="N15" s="1"/>
    </row>
    <row r="16" spans="1:14" ht="18" customHeight="1">
      <c r="A16" s="1"/>
      <c r="B16" s="20" t="s">
        <v>427</v>
      </c>
      <c r="C16" s="20" t="s">
        <v>428</v>
      </c>
      <c r="D16" s="20" t="s">
        <v>429</v>
      </c>
      <c r="E16" s="20" t="s">
        <v>430</v>
      </c>
      <c r="F16" s="20" t="s">
        <v>431</v>
      </c>
      <c r="G16" s="20" t="s">
        <v>432</v>
      </c>
      <c r="H16" s="20" t="s">
        <v>433</v>
      </c>
      <c r="I16" s="20" t="s">
        <v>434</v>
      </c>
      <c r="J16" s="1"/>
      <c r="K16" s="1"/>
      <c r="L16" s="1"/>
      <c r="M16" s="1"/>
      <c r="N16" s="1"/>
    </row>
    <row r="17" spans="1:14" ht="18" customHeight="1">
      <c r="A17" s="1"/>
      <c r="B17" s="1"/>
      <c r="C17" s="1"/>
      <c r="D17" s="1"/>
      <c r="E17" s="1"/>
      <c r="F17" s="1"/>
      <c r="G17" s="1"/>
      <c r="H17" s="1"/>
      <c r="I17" s="1"/>
      <c r="J17" s="1"/>
      <c r="K17" s="1"/>
      <c r="L17" s="1"/>
      <c r="M17" s="1"/>
      <c r="N17" s="1"/>
    </row>
    <row r="18" spans="1:14" ht="18" customHeight="1">
      <c r="A18" s="1"/>
      <c r="B18" s="97" t="s">
        <v>435</v>
      </c>
      <c r="C18" s="97" t="s">
        <v>435</v>
      </c>
      <c r="D18" s="97" t="s">
        <v>435</v>
      </c>
      <c r="E18" s="97" t="s">
        <v>435</v>
      </c>
      <c r="F18" s="97" t="s">
        <v>435</v>
      </c>
      <c r="G18" s="97" t="s">
        <v>435</v>
      </c>
      <c r="H18" s="97" t="s">
        <v>435</v>
      </c>
      <c r="I18" s="97" t="s">
        <v>435</v>
      </c>
      <c r="J18" s="1"/>
      <c r="K18" s="1"/>
      <c r="L18" s="1"/>
      <c r="M18" s="1"/>
      <c r="N18" s="1"/>
    </row>
    <row r="19" spans="1:14" ht="33.950000000000003" customHeight="1">
      <c r="A19" s="1"/>
      <c r="B19" s="93" t="s">
        <v>436</v>
      </c>
      <c r="C19" s="93" t="s">
        <v>437</v>
      </c>
      <c r="D19" s="93" t="s">
        <v>437</v>
      </c>
      <c r="E19" s="93" t="s">
        <v>437</v>
      </c>
      <c r="F19" s="93" t="s">
        <v>437</v>
      </c>
      <c r="G19" s="93" t="s">
        <v>437</v>
      </c>
      <c r="H19" s="93" t="s">
        <v>437</v>
      </c>
      <c r="I19" s="93" t="s">
        <v>437</v>
      </c>
      <c r="J19" s="1"/>
      <c r="K19" s="1"/>
      <c r="L19" s="1"/>
      <c r="M19" s="1"/>
      <c r="N19" s="1"/>
    </row>
    <row r="20" spans="1:14" ht="33.950000000000003" customHeight="1">
      <c r="A20" s="1"/>
      <c r="B20" s="93" t="s">
        <v>437</v>
      </c>
      <c r="C20" s="93" t="s">
        <v>437</v>
      </c>
      <c r="D20" s="93" t="s">
        <v>437</v>
      </c>
      <c r="E20" s="93" t="s">
        <v>437</v>
      </c>
      <c r="F20" s="93" t="s">
        <v>437</v>
      </c>
      <c r="G20" s="93" t="s">
        <v>437</v>
      </c>
      <c r="H20" s="93" t="s">
        <v>437</v>
      </c>
      <c r="I20" s="93" t="s">
        <v>437</v>
      </c>
      <c r="J20" s="1"/>
      <c r="K20" s="1"/>
      <c r="L20" s="1"/>
      <c r="M20" s="1"/>
      <c r="N20" s="1"/>
    </row>
    <row r="21" spans="1:14" ht="33.950000000000003" customHeight="1">
      <c r="A21" s="1"/>
      <c r="B21" s="93" t="s">
        <v>437</v>
      </c>
      <c r="C21" s="93" t="s">
        <v>437</v>
      </c>
      <c r="D21" s="93" t="s">
        <v>437</v>
      </c>
      <c r="E21" s="93" t="s">
        <v>437</v>
      </c>
      <c r="F21" s="93" t="s">
        <v>437</v>
      </c>
      <c r="G21" s="93" t="s">
        <v>437</v>
      </c>
      <c r="H21" s="93" t="s">
        <v>437</v>
      </c>
      <c r="I21" s="93" t="s">
        <v>437</v>
      </c>
      <c r="J21" s="1"/>
      <c r="K21" s="1"/>
      <c r="L21" s="1"/>
      <c r="M21" s="1"/>
      <c r="N21" s="1"/>
    </row>
    <row r="22" spans="1:14" ht="33.950000000000003" customHeight="1">
      <c r="A22" s="1"/>
      <c r="B22" s="93" t="s">
        <v>437</v>
      </c>
      <c r="C22" s="93" t="s">
        <v>437</v>
      </c>
      <c r="D22" s="93" t="s">
        <v>437</v>
      </c>
      <c r="E22" s="93" t="s">
        <v>437</v>
      </c>
      <c r="F22" s="93" t="s">
        <v>437</v>
      </c>
      <c r="G22" s="93" t="s">
        <v>437</v>
      </c>
      <c r="H22" s="93" t="s">
        <v>437</v>
      </c>
      <c r="I22" s="93" t="s">
        <v>437</v>
      </c>
      <c r="J22" s="1"/>
      <c r="K22" s="1"/>
      <c r="L22" s="1"/>
      <c r="M22" s="1"/>
      <c r="N22" s="1"/>
    </row>
    <row r="23" spans="1:14" ht="33.950000000000003" customHeight="1">
      <c r="A23" s="1"/>
      <c r="B23" s="93" t="s">
        <v>437</v>
      </c>
      <c r="C23" s="93" t="s">
        <v>437</v>
      </c>
      <c r="D23" s="93" t="s">
        <v>437</v>
      </c>
      <c r="E23" s="93" t="s">
        <v>437</v>
      </c>
      <c r="F23" s="93" t="s">
        <v>437</v>
      </c>
      <c r="G23" s="93" t="s">
        <v>437</v>
      </c>
      <c r="H23" s="93" t="s">
        <v>437</v>
      </c>
      <c r="I23" s="93" t="s">
        <v>437</v>
      </c>
      <c r="J23" s="1"/>
      <c r="K23" s="1"/>
      <c r="L23" s="1"/>
      <c r="M23" s="1"/>
      <c r="N23" s="1"/>
    </row>
    <row r="24" spans="1:14" ht="33.950000000000003" customHeight="1">
      <c r="A24" s="1"/>
      <c r="B24" s="93" t="s">
        <v>437</v>
      </c>
      <c r="C24" s="93" t="s">
        <v>437</v>
      </c>
      <c r="D24" s="93" t="s">
        <v>437</v>
      </c>
      <c r="E24" s="93" t="s">
        <v>437</v>
      </c>
      <c r="F24" s="93" t="s">
        <v>437</v>
      </c>
      <c r="G24" s="93" t="s">
        <v>437</v>
      </c>
      <c r="H24" s="93" t="s">
        <v>437</v>
      </c>
      <c r="I24" s="93" t="s">
        <v>437</v>
      </c>
      <c r="J24" s="1"/>
      <c r="K24" s="1"/>
      <c r="L24" s="1"/>
      <c r="M24" s="1"/>
      <c r="N24" s="1"/>
    </row>
    <row r="25" spans="1:14" ht="33.950000000000003" customHeight="1">
      <c r="A25" s="1"/>
      <c r="B25" s="93" t="s">
        <v>437</v>
      </c>
      <c r="C25" s="93" t="s">
        <v>437</v>
      </c>
      <c r="D25" s="93" t="s">
        <v>437</v>
      </c>
      <c r="E25" s="93" t="s">
        <v>437</v>
      </c>
      <c r="F25" s="93" t="s">
        <v>437</v>
      </c>
      <c r="G25" s="93" t="s">
        <v>437</v>
      </c>
      <c r="H25" s="93" t="s">
        <v>437</v>
      </c>
      <c r="I25" s="93" t="s">
        <v>437</v>
      </c>
      <c r="J25" s="1"/>
      <c r="K25" s="1"/>
      <c r="L25" s="1"/>
      <c r="M25" s="1"/>
      <c r="N25" s="1"/>
    </row>
    <row r="26" spans="1:14" ht="18" customHeight="1">
      <c r="A26" s="1"/>
      <c r="B26" s="1"/>
      <c r="C26" s="1"/>
      <c r="D26" s="1"/>
      <c r="E26" s="1"/>
      <c r="F26" s="1"/>
      <c r="G26" s="1"/>
      <c r="H26" s="1"/>
      <c r="I26" s="1"/>
      <c r="J26" s="1"/>
      <c r="K26" s="1"/>
      <c r="L26" s="1"/>
      <c r="M26" s="1"/>
      <c r="N26" s="1"/>
    </row>
    <row r="27" spans="1:14" ht="18" customHeight="1">
      <c r="A27" s="1"/>
      <c r="B27" s="74" t="s">
        <v>438</v>
      </c>
      <c r="C27" s="74" t="s">
        <v>439</v>
      </c>
      <c r="D27" s="74" t="s">
        <v>440</v>
      </c>
      <c r="E27" s="74" t="s">
        <v>394</v>
      </c>
      <c r="F27" s="74" t="s">
        <v>441</v>
      </c>
      <c r="G27" s="74" t="s">
        <v>442</v>
      </c>
      <c r="H27" s="74" t="s">
        <v>443</v>
      </c>
      <c r="I27" s="74" t="s">
        <v>381</v>
      </c>
      <c r="J27" s="1"/>
      <c r="K27" s="1"/>
      <c r="L27" s="1"/>
      <c r="M27" s="1"/>
      <c r="N27" s="1"/>
    </row>
    <row r="28" spans="1:14" ht="18" customHeight="1">
      <c r="A28" s="1"/>
      <c r="B28" s="74" t="s">
        <v>444</v>
      </c>
      <c r="C28" s="74" t="s">
        <v>445</v>
      </c>
      <c r="D28" s="74" t="s">
        <v>440</v>
      </c>
      <c r="E28" s="74" t="s">
        <v>446</v>
      </c>
      <c r="F28" s="74" t="s">
        <v>441</v>
      </c>
      <c r="G28" s="74" t="s">
        <v>447</v>
      </c>
      <c r="H28" s="74" t="s">
        <v>448</v>
      </c>
      <c r="I28" s="74" t="s">
        <v>381</v>
      </c>
      <c r="J28" s="1"/>
      <c r="K28" s="1"/>
      <c r="L28" s="1"/>
      <c r="M28" s="1"/>
      <c r="N28" s="1"/>
    </row>
    <row r="29" spans="1:14" ht="18" customHeight="1">
      <c r="A29" s="1"/>
      <c r="B29" s="74" t="s">
        <v>449</v>
      </c>
      <c r="C29" s="74" t="s">
        <v>450</v>
      </c>
      <c r="D29" s="74" t="s">
        <v>398</v>
      </c>
      <c r="E29" s="74" t="s">
        <v>446</v>
      </c>
      <c r="F29" s="74" t="s">
        <v>441</v>
      </c>
      <c r="G29" s="74" t="s">
        <v>451</v>
      </c>
      <c r="H29" s="74" t="s">
        <v>452</v>
      </c>
      <c r="I29" s="74" t="s">
        <v>381</v>
      </c>
      <c r="J29" s="1"/>
      <c r="K29" s="1"/>
      <c r="L29" s="1"/>
      <c r="M29" s="1"/>
      <c r="N29" s="1"/>
    </row>
    <row r="30" spans="1:14" ht="18" customHeight="1">
      <c r="A30" s="1"/>
      <c r="B30" s="74" t="s">
        <v>453</v>
      </c>
      <c r="C30" s="74" t="s">
        <v>454</v>
      </c>
      <c r="D30" s="74" t="s">
        <v>398</v>
      </c>
      <c r="E30" s="74" t="s">
        <v>394</v>
      </c>
      <c r="F30" s="74" t="s">
        <v>441</v>
      </c>
      <c r="G30" s="74" t="s">
        <v>455</v>
      </c>
      <c r="H30" s="74" t="s">
        <v>456</v>
      </c>
      <c r="I30" s="74" t="s">
        <v>381</v>
      </c>
      <c r="J30" s="1"/>
      <c r="K30" s="1"/>
      <c r="L30" s="1"/>
      <c r="M30" s="1"/>
      <c r="N30" s="1"/>
    </row>
    <row r="31" spans="1:14" ht="18" customHeight="1">
      <c r="A31" s="1"/>
      <c r="B31" s="74" t="s">
        <v>457</v>
      </c>
      <c r="C31" s="74" t="s">
        <v>458</v>
      </c>
      <c r="D31" s="74" t="s">
        <v>398</v>
      </c>
      <c r="E31" s="74" t="s">
        <v>394</v>
      </c>
      <c r="F31" s="74" t="s">
        <v>441</v>
      </c>
      <c r="G31" s="74" t="s">
        <v>459</v>
      </c>
      <c r="H31" s="74" t="s">
        <v>460</v>
      </c>
      <c r="I31" s="74" t="s">
        <v>381</v>
      </c>
      <c r="J31" s="1"/>
      <c r="K31" s="1"/>
      <c r="L31" s="1"/>
      <c r="M31" s="1"/>
      <c r="N31" s="1"/>
    </row>
    <row r="32" spans="1:14" ht="18" customHeight="1">
      <c r="A32" s="1"/>
      <c r="B32" s="1"/>
      <c r="C32" s="1"/>
      <c r="D32" s="1"/>
      <c r="E32" s="1"/>
      <c r="F32" s="1"/>
      <c r="G32" s="1"/>
      <c r="H32" s="1"/>
      <c r="I32" s="1"/>
      <c r="J32" s="1"/>
      <c r="K32" s="1"/>
      <c r="L32" s="1"/>
      <c r="M32" s="1"/>
      <c r="N32" s="1"/>
    </row>
    <row r="33" spans="1:14" ht="18" customHeight="1">
      <c r="A33" s="1"/>
      <c r="B33" s="1"/>
      <c r="C33" s="1"/>
      <c r="D33" s="1"/>
      <c r="E33" s="1"/>
      <c r="F33" s="1"/>
      <c r="G33" s="1"/>
      <c r="H33" s="1"/>
      <c r="I33" s="1"/>
      <c r="J33" s="1"/>
      <c r="K33" s="1"/>
      <c r="L33" s="1"/>
      <c r="M33" s="1"/>
      <c r="N33" s="1"/>
    </row>
    <row r="34" spans="1:14" ht="18" customHeight="1">
      <c r="A34" s="1"/>
      <c r="B34" s="1"/>
      <c r="C34" s="1"/>
      <c r="D34" s="1"/>
      <c r="E34" s="1"/>
      <c r="F34" s="1"/>
      <c r="G34" s="1"/>
      <c r="H34" s="1"/>
      <c r="I34" s="1"/>
      <c r="J34" s="1"/>
      <c r="K34" s="1"/>
      <c r="L34" s="1"/>
      <c r="M34" s="1"/>
      <c r="N34" s="1"/>
    </row>
    <row r="35" spans="1:14" ht="18" customHeight="1">
      <c r="A35" s="1"/>
      <c r="B35" s="1"/>
      <c r="C35" s="1"/>
      <c r="D35" s="1"/>
      <c r="E35" s="1"/>
      <c r="F35" s="1"/>
      <c r="G35" s="1"/>
      <c r="H35" s="1"/>
      <c r="I35" s="1"/>
      <c r="J35" s="1"/>
      <c r="K35" s="1"/>
      <c r="L35" s="1"/>
      <c r="M35" s="1"/>
      <c r="N35" s="1"/>
    </row>
    <row r="36" spans="1:14" ht="18" customHeight="1">
      <c r="A36" s="1"/>
      <c r="B36" s="1"/>
      <c r="C36" s="1"/>
      <c r="D36" s="1"/>
      <c r="E36" s="1"/>
      <c r="F36" s="1"/>
      <c r="G36" s="1"/>
      <c r="H36" s="1"/>
      <c r="I36" s="1"/>
      <c r="J36" s="1"/>
      <c r="K36" s="1"/>
      <c r="L36" s="1"/>
      <c r="M36" s="1"/>
      <c r="N36" s="1"/>
    </row>
    <row r="37" spans="1:14" ht="18" customHeight="1">
      <c r="A37" s="1"/>
      <c r="B37" s="1"/>
      <c r="C37" s="1"/>
      <c r="D37" s="1"/>
      <c r="E37" s="1"/>
      <c r="F37" s="1"/>
      <c r="G37" s="1"/>
      <c r="H37" s="1"/>
      <c r="I37" s="1"/>
      <c r="J37" s="1"/>
      <c r="K37" s="1"/>
      <c r="L37" s="1"/>
      <c r="M37" s="1"/>
      <c r="N37" s="1"/>
    </row>
    <row r="38" spans="1:14" ht="18" customHeight="1">
      <c r="A38" s="1"/>
      <c r="B38" s="1"/>
      <c r="C38" s="1"/>
      <c r="D38" s="1"/>
      <c r="E38" s="1"/>
      <c r="F38" s="1"/>
      <c r="G38" s="1"/>
      <c r="H38" s="1"/>
      <c r="I38" s="1"/>
      <c r="J38" s="1"/>
      <c r="K38" s="1"/>
      <c r="L38" s="1"/>
      <c r="M38" s="1"/>
      <c r="N38" s="1"/>
    </row>
    <row r="39" spans="1:14" ht="18" customHeight="1">
      <c r="A39" s="1"/>
      <c r="B39" s="1"/>
      <c r="C39" s="1"/>
      <c r="D39" s="1"/>
      <c r="E39" s="1"/>
      <c r="F39" s="1"/>
      <c r="G39" s="1"/>
      <c r="H39" s="1"/>
      <c r="I39" s="1"/>
      <c r="J39" s="1"/>
      <c r="K39" s="1"/>
      <c r="L39" s="1"/>
      <c r="M39" s="1"/>
      <c r="N39" s="1"/>
    </row>
    <row r="40" spans="1:14" ht="18" customHeight="1">
      <c r="A40" s="1"/>
      <c r="B40" s="1"/>
      <c r="C40" s="1"/>
      <c r="D40" s="1"/>
      <c r="E40" s="1"/>
      <c r="F40" s="1"/>
      <c r="G40" s="1"/>
      <c r="H40" s="1"/>
      <c r="I40" s="1"/>
      <c r="J40" s="1"/>
      <c r="K40" s="1"/>
      <c r="L40" s="1"/>
      <c r="M40" s="1"/>
      <c r="N40" s="1"/>
    </row>
    <row r="41" spans="1:14" ht="18" customHeight="1">
      <c r="A41" s="1"/>
      <c r="B41" s="1"/>
      <c r="C41" s="1"/>
      <c r="D41" s="1"/>
      <c r="E41" s="1"/>
      <c r="F41" s="1"/>
      <c r="G41" s="1"/>
      <c r="H41" s="1"/>
      <c r="I41" s="1"/>
      <c r="J41" s="1"/>
      <c r="K41" s="1"/>
      <c r="L41" s="1"/>
      <c r="M41" s="1"/>
      <c r="N41" s="1"/>
    </row>
    <row r="42" spans="1:14" ht="18" customHeight="1">
      <c r="A42" s="1"/>
      <c r="B42" s="1"/>
      <c r="C42" s="1"/>
      <c r="D42" s="1"/>
      <c r="E42" s="1"/>
      <c r="F42" s="1"/>
      <c r="G42" s="1"/>
      <c r="H42" s="1"/>
      <c r="I42" s="1"/>
      <c r="J42" s="1"/>
      <c r="K42" s="1"/>
      <c r="L42" s="1"/>
      <c r="M42" s="1"/>
      <c r="N42" s="1"/>
    </row>
    <row r="43" spans="1:14" ht="18" customHeight="1">
      <c r="A43" s="1"/>
      <c r="B43" s="1"/>
      <c r="C43" s="1"/>
      <c r="D43" s="1"/>
      <c r="E43" s="1"/>
      <c r="F43" s="1"/>
      <c r="G43" s="1"/>
      <c r="H43" s="1"/>
      <c r="I43" s="1"/>
      <c r="J43" s="1"/>
      <c r="K43" s="1"/>
      <c r="L43" s="1"/>
      <c r="M43" s="1"/>
      <c r="N43" s="1"/>
    </row>
    <row r="44" spans="1:14" ht="18" customHeight="1">
      <c r="A44" s="1"/>
      <c r="B44" s="1"/>
      <c r="C44" s="1"/>
      <c r="D44" s="1"/>
      <c r="E44" s="1"/>
      <c r="F44" s="1"/>
      <c r="G44" s="1"/>
      <c r="H44" s="1"/>
      <c r="I44" s="1"/>
      <c r="J44" s="1"/>
      <c r="K44" s="1"/>
      <c r="L44" s="1"/>
      <c r="M44" s="1"/>
      <c r="N44" s="1"/>
    </row>
    <row r="45" spans="1:14" ht="18" customHeight="1">
      <c r="A45" s="1"/>
      <c r="B45" s="1"/>
      <c r="C45" s="1"/>
      <c r="D45" s="1"/>
      <c r="E45" s="1"/>
      <c r="F45" s="1"/>
      <c r="G45" s="1"/>
      <c r="H45" s="1"/>
      <c r="I45" s="1"/>
      <c r="J45" s="1"/>
      <c r="K45" s="1"/>
      <c r="L45" s="1"/>
      <c r="M45" s="1"/>
      <c r="N45" s="1"/>
    </row>
    <row r="46" spans="1:14" ht="18" customHeight="1">
      <c r="A46" s="1"/>
      <c r="B46" s="1"/>
      <c r="C46" s="1"/>
      <c r="D46" s="1"/>
      <c r="E46" s="1"/>
      <c r="F46" s="1"/>
      <c r="G46" s="1"/>
      <c r="H46" s="1"/>
      <c r="I46" s="1"/>
      <c r="J46" s="1"/>
      <c r="K46" s="1"/>
      <c r="L46" s="1"/>
      <c r="M46" s="1"/>
      <c r="N46" s="1"/>
    </row>
    <row r="47" spans="1:14" ht="18" customHeight="1">
      <c r="A47" s="1"/>
      <c r="B47" s="1"/>
      <c r="C47" s="1"/>
      <c r="D47" s="1"/>
      <c r="E47" s="1"/>
      <c r="F47" s="1"/>
      <c r="G47" s="1"/>
      <c r="H47" s="1"/>
      <c r="I47" s="1"/>
      <c r="J47" s="1"/>
      <c r="K47" s="1"/>
      <c r="L47" s="1"/>
      <c r="M47" s="1"/>
      <c r="N47" s="1"/>
    </row>
    <row r="48" spans="1:14" ht="18" customHeight="1">
      <c r="A48" s="1"/>
      <c r="B48" s="1"/>
      <c r="C48" s="1"/>
      <c r="D48" s="1"/>
      <c r="E48" s="1"/>
      <c r="F48" s="1"/>
      <c r="G48" s="1"/>
      <c r="H48" s="1"/>
      <c r="I48" s="1"/>
      <c r="J48" s="1"/>
      <c r="K48" s="1"/>
      <c r="L48" s="1"/>
      <c r="M48" s="1"/>
      <c r="N48" s="1"/>
    </row>
    <row r="49" spans="1:14" ht="18" customHeight="1">
      <c r="A49" s="1"/>
      <c r="B49" s="1"/>
      <c r="C49" s="1"/>
      <c r="D49" s="1"/>
      <c r="E49" s="1"/>
      <c r="F49" s="1"/>
      <c r="G49" s="1"/>
      <c r="H49" s="1"/>
      <c r="I49" s="1"/>
      <c r="J49" s="1"/>
      <c r="K49" s="1"/>
      <c r="L49" s="1"/>
      <c r="M49" s="1"/>
      <c r="N49" s="1"/>
    </row>
    <row r="50" spans="1:14" ht="18" customHeight="1">
      <c r="A50" s="1"/>
      <c r="B50" s="1"/>
      <c r="C50" s="1"/>
      <c r="D50" s="1"/>
      <c r="E50" s="1"/>
      <c r="F50" s="1"/>
      <c r="G50" s="1"/>
      <c r="H50" s="1"/>
      <c r="I50" s="1"/>
      <c r="J50" s="1"/>
      <c r="K50" s="1"/>
      <c r="L50" s="1"/>
      <c r="M50" s="1"/>
      <c r="N50" s="1"/>
    </row>
    <row r="51" spans="1:14" ht="18" customHeight="1">
      <c r="A51" s="1"/>
      <c r="B51" s="1"/>
      <c r="C51" s="1"/>
      <c r="D51" s="1"/>
      <c r="E51" s="1"/>
      <c r="F51" s="1"/>
      <c r="G51" s="1"/>
      <c r="H51" s="1"/>
      <c r="I51" s="1"/>
      <c r="J51" s="1"/>
      <c r="K51" s="1"/>
      <c r="L51" s="1"/>
      <c r="M51" s="1"/>
      <c r="N51" s="1"/>
    </row>
    <row r="52" spans="1:14" ht="18" customHeight="1">
      <c r="A52" s="1"/>
      <c r="B52" s="1"/>
      <c r="C52" s="1"/>
      <c r="D52" s="1"/>
      <c r="E52" s="1"/>
      <c r="F52" s="1"/>
      <c r="G52" s="1"/>
      <c r="H52" s="1"/>
      <c r="I52" s="1"/>
      <c r="J52" s="1"/>
      <c r="K52" s="1"/>
      <c r="L52" s="1"/>
      <c r="M52" s="1"/>
      <c r="N52" s="1"/>
    </row>
    <row r="53" spans="1:14" ht="18" customHeight="1">
      <c r="A53" s="1"/>
      <c r="B53" s="1"/>
      <c r="C53" s="1"/>
      <c r="D53" s="1"/>
      <c r="E53" s="1"/>
      <c r="F53" s="1"/>
      <c r="G53" s="1"/>
      <c r="H53" s="1"/>
      <c r="I53" s="1"/>
      <c r="J53" s="1"/>
      <c r="K53" s="1"/>
      <c r="L53" s="1"/>
      <c r="M53" s="1"/>
      <c r="N53" s="1"/>
    </row>
    <row r="54" spans="1:14" ht="18" customHeight="1">
      <c r="A54" s="1"/>
      <c r="B54" s="1"/>
      <c r="C54" s="1"/>
      <c r="D54" s="1"/>
      <c r="E54" s="1"/>
      <c r="F54" s="1"/>
      <c r="G54" s="1"/>
      <c r="H54" s="1"/>
      <c r="I54" s="1"/>
      <c r="J54" s="1"/>
      <c r="K54" s="1"/>
      <c r="L54" s="1"/>
      <c r="M54" s="1"/>
      <c r="N54" s="1"/>
    </row>
    <row r="55" spans="1:14" ht="18" customHeight="1">
      <c r="A55" s="1"/>
      <c r="B55" s="1"/>
      <c r="C55" s="1"/>
      <c r="D55" s="1"/>
      <c r="E55" s="1"/>
      <c r="F55" s="1"/>
      <c r="G55" s="1"/>
      <c r="H55" s="1"/>
      <c r="I55" s="1"/>
      <c r="J55" s="1"/>
      <c r="K55" s="1"/>
      <c r="L55" s="1"/>
      <c r="M55" s="1"/>
      <c r="N55" s="1"/>
    </row>
    <row r="56" spans="1:14" ht="18" customHeight="1">
      <c r="A56" s="1"/>
      <c r="B56" s="1"/>
      <c r="C56" s="1"/>
      <c r="D56" s="1"/>
      <c r="E56" s="1"/>
      <c r="F56" s="1"/>
      <c r="G56" s="1"/>
      <c r="H56" s="1"/>
      <c r="I56" s="1"/>
      <c r="J56" s="1"/>
      <c r="K56" s="1"/>
      <c r="L56" s="1"/>
      <c r="M56" s="1"/>
      <c r="N56" s="1"/>
    </row>
    <row r="57" spans="1:14" ht="18" customHeight="1">
      <c r="A57" s="1"/>
      <c r="B57" s="1"/>
      <c r="C57" s="1"/>
      <c r="D57" s="1"/>
      <c r="E57" s="1"/>
      <c r="F57" s="1"/>
      <c r="G57" s="1"/>
      <c r="H57" s="1"/>
      <c r="I57" s="1"/>
      <c r="J57" s="1"/>
      <c r="K57" s="1"/>
      <c r="L57" s="1"/>
      <c r="M57" s="1"/>
      <c r="N57" s="1"/>
    </row>
    <row r="58" spans="1:14" ht="18" customHeight="1">
      <c r="A58" s="1"/>
      <c r="B58" s="1"/>
      <c r="C58" s="1"/>
      <c r="D58" s="1"/>
      <c r="E58" s="1"/>
      <c r="F58" s="1"/>
      <c r="G58" s="1"/>
      <c r="H58" s="1"/>
      <c r="I58" s="1"/>
      <c r="J58" s="1"/>
      <c r="K58" s="1"/>
      <c r="L58" s="1"/>
      <c r="M58" s="1"/>
      <c r="N58" s="1"/>
    </row>
    <row r="59" spans="1:14" ht="18" customHeight="1">
      <c r="A59" s="1"/>
      <c r="B59" s="1"/>
      <c r="C59" s="1"/>
      <c r="D59" s="1"/>
      <c r="E59" s="1"/>
      <c r="F59" s="1"/>
      <c r="G59" s="1"/>
      <c r="H59" s="1"/>
      <c r="I59" s="1"/>
      <c r="J59" s="1"/>
      <c r="K59" s="1"/>
      <c r="L59" s="1"/>
      <c r="M59" s="1"/>
      <c r="N59" s="1"/>
    </row>
    <row r="60" spans="1:14" ht="18" customHeight="1">
      <c r="A60" s="1"/>
      <c r="B60" s="1"/>
      <c r="C60" s="1"/>
      <c r="D60" s="1"/>
      <c r="E60" s="1"/>
      <c r="F60" s="1"/>
      <c r="G60" s="1"/>
      <c r="H60" s="1"/>
      <c r="I60" s="1"/>
      <c r="J60" s="1"/>
      <c r="K60" s="1"/>
      <c r="L60" s="1"/>
      <c r="M60" s="1"/>
      <c r="N60" s="1"/>
    </row>
    <row r="61" spans="1:14" ht="18" customHeight="1">
      <c r="A61" s="1"/>
      <c r="B61" s="1"/>
      <c r="C61" s="1"/>
      <c r="D61" s="1"/>
      <c r="E61" s="1"/>
      <c r="F61" s="1"/>
      <c r="G61" s="1"/>
      <c r="H61" s="1"/>
      <c r="I61" s="1"/>
      <c r="J61" s="1"/>
      <c r="K61" s="1"/>
      <c r="L61" s="1"/>
      <c r="M61" s="1"/>
      <c r="N61" s="1"/>
    </row>
    <row r="62" spans="1:14" ht="18" customHeight="1">
      <c r="A62" s="1"/>
      <c r="B62" s="1"/>
      <c r="C62" s="1"/>
      <c r="D62" s="1"/>
      <c r="E62" s="1"/>
      <c r="F62" s="1"/>
      <c r="G62" s="1"/>
      <c r="H62" s="1"/>
      <c r="I62" s="1"/>
      <c r="J62" s="1"/>
      <c r="K62" s="1"/>
      <c r="L62" s="1"/>
      <c r="M62" s="1"/>
      <c r="N62" s="1"/>
    </row>
    <row r="63" spans="1:14" ht="18" customHeight="1">
      <c r="A63" s="1"/>
      <c r="B63" s="1"/>
      <c r="C63" s="1"/>
      <c r="D63" s="1"/>
      <c r="E63" s="1"/>
      <c r="F63" s="1"/>
      <c r="G63" s="1"/>
      <c r="H63" s="1"/>
      <c r="I63" s="1"/>
      <c r="J63" s="1"/>
      <c r="K63" s="1"/>
      <c r="L63" s="1"/>
      <c r="M63" s="1"/>
      <c r="N63" s="1"/>
    </row>
    <row r="64" spans="1:14" ht="18" customHeight="1">
      <c r="A64" s="1"/>
      <c r="B64" s="1"/>
      <c r="C64" s="1"/>
      <c r="D64" s="1"/>
      <c r="E64" s="1"/>
      <c r="F64" s="1"/>
      <c r="G64" s="1"/>
      <c r="H64" s="1"/>
      <c r="I64" s="1"/>
      <c r="J64" s="1"/>
      <c r="K64" s="1"/>
      <c r="L64" s="1"/>
      <c r="M64" s="1"/>
      <c r="N64" s="1"/>
    </row>
    <row r="65" spans="1:14" ht="18" customHeight="1">
      <c r="A65" s="1"/>
      <c r="B65" s="1"/>
      <c r="C65" s="1"/>
      <c r="D65" s="1"/>
      <c r="E65" s="1"/>
      <c r="F65" s="1"/>
      <c r="G65" s="1"/>
      <c r="H65" s="1"/>
      <c r="I65" s="1"/>
      <c r="J65" s="1"/>
      <c r="K65" s="1"/>
      <c r="L65" s="1"/>
      <c r="M65" s="1"/>
      <c r="N65" s="1"/>
    </row>
    <row r="66" spans="1:14" ht="18" customHeight="1">
      <c r="A66" s="1"/>
      <c r="B66" s="1"/>
      <c r="C66" s="1"/>
      <c r="D66" s="1"/>
      <c r="E66" s="1"/>
      <c r="F66" s="1"/>
      <c r="G66" s="1"/>
      <c r="H66" s="1"/>
      <c r="I66" s="1"/>
      <c r="J66" s="1"/>
      <c r="K66" s="1"/>
      <c r="L66" s="1"/>
      <c r="M66" s="1"/>
      <c r="N66" s="1"/>
    </row>
    <row r="67" spans="1:14" ht="18" customHeight="1">
      <c r="A67" s="1"/>
      <c r="B67" s="1"/>
      <c r="C67" s="1"/>
      <c r="D67" s="1"/>
      <c r="E67" s="1"/>
      <c r="F67" s="1"/>
      <c r="G67" s="1"/>
      <c r="H67" s="1"/>
      <c r="I67" s="1"/>
      <c r="J67" s="1"/>
      <c r="K67" s="1"/>
      <c r="L67" s="1"/>
      <c r="M67" s="1"/>
      <c r="N67" s="1"/>
    </row>
    <row r="68" spans="1:14" ht="18" customHeight="1">
      <c r="A68" s="1"/>
      <c r="B68" s="1"/>
      <c r="C68" s="1"/>
      <c r="D68" s="1"/>
      <c r="E68" s="1"/>
      <c r="F68" s="1"/>
      <c r="G68" s="1"/>
      <c r="H68" s="1"/>
      <c r="I68" s="1"/>
      <c r="J68" s="1"/>
      <c r="K68" s="1"/>
      <c r="L68" s="1"/>
      <c r="M68" s="1"/>
      <c r="N68" s="1"/>
    </row>
    <row r="69" spans="1:14" ht="18" customHeight="1">
      <c r="A69" s="1"/>
      <c r="B69" s="1"/>
      <c r="C69" s="1"/>
      <c r="D69" s="1"/>
      <c r="E69" s="1"/>
      <c r="F69" s="1"/>
      <c r="G69" s="1"/>
      <c r="H69" s="1"/>
      <c r="I69" s="1"/>
      <c r="J69" s="1"/>
      <c r="K69" s="1"/>
      <c r="L69" s="1"/>
      <c r="M69" s="1"/>
      <c r="N69" s="1"/>
    </row>
    <row r="70" spans="1:14" ht="18" customHeight="1">
      <c r="A70" s="1"/>
      <c r="B70" s="1"/>
      <c r="C70" s="1"/>
      <c r="D70" s="1"/>
      <c r="E70" s="1"/>
      <c r="F70" s="1"/>
      <c r="G70" s="1"/>
      <c r="H70" s="1"/>
      <c r="I70" s="1"/>
      <c r="J70" s="1"/>
      <c r="K70" s="1"/>
      <c r="L70" s="1"/>
      <c r="M70" s="1"/>
      <c r="N70" s="1"/>
    </row>
    <row r="71" spans="1:14" ht="18" customHeight="1">
      <c r="A71" s="1"/>
      <c r="B71" s="1"/>
      <c r="C71" s="1"/>
      <c r="D71" s="1"/>
      <c r="E71" s="1"/>
      <c r="F71" s="1"/>
      <c r="G71" s="1"/>
      <c r="H71" s="1"/>
      <c r="I71" s="1"/>
      <c r="J71" s="1"/>
      <c r="K71" s="1"/>
      <c r="L71" s="1"/>
      <c r="M71" s="1"/>
      <c r="N71" s="1"/>
    </row>
    <row r="72" spans="1:14" ht="18" customHeight="1">
      <c r="A72" s="1"/>
      <c r="B72" s="1"/>
      <c r="C72" s="1"/>
      <c r="D72" s="1"/>
      <c r="E72" s="1"/>
      <c r="F72" s="1"/>
      <c r="G72" s="1"/>
      <c r="H72" s="1"/>
      <c r="I72" s="1"/>
      <c r="J72" s="1"/>
      <c r="K72" s="1"/>
      <c r="L72" s="1"/>
      <c r="M72" s="1"/>
      <c r="N72" s="1"/>
    </row>
    <row r="73" spans="1:14" ht="18" customHeight="1">
      <c r="A73" s="1"/>
      <c r="B73" s="1"/>
      <c r="C73" s="1"/>
      <c r="D73" s="1"/>
      <c r="E73" s="1"/>
      <c r="F73" s="1"/>
      <c r="G73" s="1"/>
      <c r="H73" s="1"/>
      <c r="I73" s="1"/>
      <c r="J73" s="1"/>
      <c r="K73" s="1"/>
      <c r="L73" s="1"/>
      <c r="M73" s="1"/>
      <c r="N73" s="1"/>
    </row>
    <row r="74" spans="1:14" ht="18" customHeight="1">
      <c r="A74" s="1"/>
      <c r="B74" s="1"/>
      <c r="C74" s="1"/>
      <c r="D74" s="1"/>
      <c r="E74" s="1"/>
      <c r="F74" s="1"/>
      <c r="G74" s="1"/>
      <c r="H74" s="1"/>
      <c r="I74" s="1"/>
      <c r="J74" s="1"/>
      <c r="K74" s="1"/>
      <c r="L74" s="1"/>
      <c r="M74" s="1"/>
      <c r="N74" s="1"/>
    </row>
    <row r="75" spans="1:14" ht="18" customHeight="1">
      <c r="A75" s="1"/>
      <c r="B75" s="1"/>
      <c r="C75" s="1"/>
      <c r="D75" s="1"/>
      <c r="E75" s="1"/>
      <c r="F75" s="1"/>
      <c r="G75" s="1"/>
      <c r="H75" s="1"/>
      <c r="I75" s="1"/>
      <c r="J75" s="1"/>
      <c r="K75" s="1"/>
      <c r="L75" s="1"/>
      <c r="M75" s="1"/>
      <c r="N75" s="1"/>
    </row>
    <row r="76" spans="1:14" ht="18" customHeight="1">
      <c r="A76" s="1"/>
      <c r="B76" s="1"/>
      <c r="C76" s="1"/>
      <c r="D76" s="1"/>
      <c r="E76" s="1"/>
      <c r="F76" s="1"/>
      <c r="G76" s="1"/>
      <c r="H76" s="1"/>
      <c r="I76" s="1"/>
      <c r="J76" s="1"/>
      <c r="K76" s="1"/>
      <c r="L76" s="1"/>
      <c r="M76" s="1"/>
      <c r="N76" s="1"/>
    </row>
    <row r="77" spans="1:14" ht="18" customHeight="1">
      <c r="A77" s="1"/>
      <c r="B77" s="1"/>
      <c r="C77" s="1"/>
      <c r="D77" s="1"/>
      <c r="E77" s="1"/>
      <c r="F77" s="1"/>
      <c r="G77" s="1"/>
      <c r="H77" s="1"/>
      <c r="I77" s="1"/>
      <c r="J77" s="1"/>
      <c r="K77" s="1"/>
      <c r="L77" s="1"/>
      <c r="M77" s="1"/>
      <c r="N77" s="1"/>
    </row>
    <row r="78" spans="1:14" ht="18" customHeight="1">
      <c r="A78" s="1"/>
      <c r="B78" s="1"/>
      <c r="C78" s="1"/>
      <c r="D78" s="1"/>
      <c r="E78" s="1"/>
      <c r="F78" s="1"/>
      <c r="G78" s="1"/>
      <c r="H78" s="1"/>
      <c r="I78" s="1"/>
      <c r="J78" s="1"/>
      <c r="K78" s="1"/>
      <c r="L78" s="1"/>
      <c r="M78" s="1"/>
      <c r="N78" s="1"/>
    </row>
    <row r="79" spans="1:14" ht="18" customHeight="1">
      <c r="A79" s="1"/>
      <c r="B79" s="1"/>
      <c r="C79" s="1"/>
      <c r="D79" s="1"/>
      <c r="E79" s="1"/>
      <c r="F79" s="1"/>
      <c r="G79" s="1"/>
      <c r="H79" s="1"/>
      <c r="I79" s="1"/>
      <c r="J79" s="1"/>
      <c r="K79" s="1"/>
      <c r="L79" s="1"/>
      <c r="M79" s="1"/>
      <c r="N79" s="1"/>
    </row>
    <row r="80" spans="1:14" ht="18" customHeight="1">
      <c r="A80" s="1"/>
      <c r="B80" s="1"/>
      <c r="C80" s="1"/>
      <c r="D80" s="1"/>
      <c r="E80" s="1"/>
      <c r="F80" s="1"/>
      <c r="G80" s="1"/>
      <c r="H80" s="1"/>
      <c r="I80" s="1"/>
      <c r="J80" s="1"/>
      <c r="K80" s="1"/>
      <c r="L80" s="1"/>
      <c r="M80" s="1"/>
      <c r="N80" s="1"/>
    </row>
    <row r="81" spans="1:14" ht="18" customHeight="1">
      <c r="A81" s="1"/>
      <c r="B81" s="1"/>
      <c r="C81" s="1"/>
      <c r="D81" s="1"/>
      <c r="E81" s="1"/>
      <c r="F81" s="1"/>
      <c r="G81" s="1"/>
      <c r="H81" s="1"/>
      <c r="I81" s="1"/>
      <c r="J81" s="1"/>
      <c r="K81" s="1"/>
      <c r="L81" s="1"/>
      <c r="M81" s="1"/>
      <c r="N81" s="1"/>
    </row>
    <row r="82" spans="1:14" ht="18" customHeight="1">
      <c r="A82" s="1"/>
      <c r="B82" s="1"/>
      <c r="C82" s="1"/>
      <c r="D82" s="1"/>
      <c r="E82" s="1"/>
      <c r="F82" s="1"/>
      <c r="G82" s="1"/>
      <c r="H82" s="1"/>
      <c r="I82" s="1"/>
      <c r="J82" s="1"/>
      <c r="K82" s="1"/>
      <c r="L82" s="1"/>
      <c r="M82" s="1"/>
      <c r="N82" s="1"/>
    </row>
    <row r="83" spans="1:14" ht="18" customHeight="1">
      <c r="A83" s="1"/>
      <c r="B83" s="1"/>
      <c r="C83" s="1"/>
      <c r="D83" s="1"/>
      <c r="E83" s="1"/>
      <c r="F83" s="1"/>
      <c r="G83" s="1"/>
      <c r="H83" s="1"/>
      <c r="I83" s="1"/>
      <c r="J83" s="1"/>
      <c r="K83" s="1"/>
      <c r="L83" s="1"/>
      <c r="M83" s="1"/>
      <c r="N83" s="1"/>
    </row>
    <row r="84" spans="1:14" ht="18" customHeight="1">
      <c r="A84" s="1"/>
      <c r="B84" s="1"/>
      <c r="C84" s="1"/>
      <c r="D84" s="1"/>
      <c r="E84" s="1"/>
      <c r="F84" s="1"/>
      <c r="G84" s="1"/>
      <c r="H84" s="1"/>
      <c r="I84" s="1"/>
      <c r="J84" s="1"/>
      <c r="K84" s="1"/>
      <c r="L84" s="1"/>
      <c r="M84" s="1"/>
      <c r="N84" s="1"/>
    </row>
    <row r="85" spans="1:14" ht="18" customHeight="1">
      <c r="A85" s="1"/>
      <c r="B85" s="1"/>
      <c r="C85" s="1"/>
      <c r="D85" s="1"/>
      <c r="E85" s="1"/>
      <c r="F85" s="1"/>
      <c r="G85" s="1"/>
      <c r="H85" s="1"/>
      <c r="I85" s="1"/>
      <c r="J85" s="1"/>
      <c r="K85" s="1"/>
      <c r="L85" s="1"/>
      <c r="M85" s="1"/>
      <c r="N85" s="1"/>
    </row>
    <row r="86" spans="1:14" ht="18" customHeight="1">
      <c r="A86" s="1"/>
      <c r="B86" s="1"/>
      <c r="C86" s="1"/>
      <c r="D86" s="1"/>
      <c r="E86" s="1"/>
      <c r="F86" s="1"/>
      <c r="G86" s="1"/>
      <c r="H86" s="1"/>
      <c r="I86" s="1"/>
      <c r="J86" s="1"/>
      <c r="K86" s="1"/>
      <c r="L86" s="1"/>
      <c r="M86" s="1"/>
      <c r="N86" s="1"/>
    </row>
    <row r="87" spans="1:14" ht="18" customHeight="1">
      <c r="A87" s="1"/>
      <c r="B87" s="1"/>
      <c r="C87" s="1"/>
      <c r="D87" s="1"/>
      <c r="E87" s="1"/>
      <c r="F87" s="1"/>
      <c r="G87" s="1"/>
      <c r="H87" s="1"/>
      <c r="I87" s="1"/>
      <c r="J87" s="1"/>
      <c r="K87" s="1"/>
      <c r="L87" s="1"/>
      <c r="M87" s="1"/>
      <c r="N87" s="1"/>
    </row>
    <row r="88" spans="1:14" ht="18" customHeight="1">
      <c r="A88" s="1"/>
      <c r="B88" s="1"/>
      <c r="C88" s="1"/>
      <c r="D88" s="1"/>
      <c r="E88" s="1"/>
      <c r="F88" s="1"/>
      <c r="G88" s="1"/>
      <c r="H88" s="1"/>
      <c r="I88" s="1"/>
      <c r="J88" s="1"/>
      <c r="K88" s="1"/>
      <c r="L88" s="1"/>
      <c r="M88" s="1"/>
      <c r="N88" s="1"/>
    </row>
    <row r="89" spans="1:14" ht="18" customHeight="1">
      <c r="A89" s="1"/>
      <c r="B89" s="1"/>
      <c r="C89" s="1"/>
      <c r="D89" s="1"/>
      <c r="E89" s="1"/>
      <c r="F89" s="1"/>
      <c r="G89" s="1"/>
      <c r="H89" s="1"/>
      <c r="I89" s="1"/>
      <c r="J89" s="1"/>
      <c r="K89" s="1"/>
      <c r="L89" s="1"/>
      <c r="M89" s="1"/>
      <c r="N89" s="1"/>
    </row>
    <row r="90" spans="1:14" ht="18" customHeight="1">
      <c r="A90" s="1"/>
      <c r="B90" s="1"/>
      <c r="C90" s="1"/>
      <c r="D90" s="1"/>
      <c r="E90" s="1"/>
      <c r="F90" s="1"/>
      <c r="G90" s="1"/>
      <c r="H90" s="1"/>
      <c r="I90" s="1"/>
      <c r="J90" s="1"/>
      <c r="K90" s="1"/>
      <c r="L90" s="1"/>
      <c r="M90" s="1"/>
      <c r="N90" s="1"/>
    </row>
    <row r="91" spans="1:14" ht="18" customHeight="1">
      <c r="A91" s="1"/>
      <c r="B91" s="1"/>
      <c r="C91" s="1"/>
      <c r="D91" s="1"/>
      <c r="E91" s="1"/>
      <c r="F91" s="1"/>
      <c r="G91" s="1"/>
      <c r="H91" s="1"/>
      <c r="I91" s="1"/>
      <c r="J91" s="1"/>
      <c r="K91" s="1"/>
      <c r="L91" s="1"/>
      <c r="M91" s="1"/>
      <c r="N91" s="1"/>
    </row>
    <row r="92" spans="1:14" ht="18" customHeight="1">
      <c r="A92" s="1"/>
      <c r="B92" s="1"/>
      <c r="C92" s="1"/>
      <c r="D92" s="1"/>
      <c r="E92" s="1"/>
      <c r="F92" s="1"/>
      <c r="G92" s="1"/>
      <c r="H92" s="1"/>
      <c r="I92" s="1"/>
      <c r="J92" s="1"/>
      <c r="K92" s="1"/>
      <c r="L92" s="1"/>
      <c r="M92" s="1"/>
      <c r="N92" s="1"/>
    </row>
    <row r="93" spans="1:14" ht="18" customHeight="1">
      <c r="A93" s="1"/>
      <c r="B93" s="1"/>
      <c r="C93" s="1"/>
      <c r="D93" s="1"/>
      <c r="E93" s="1"/>
      <c r="F93" s="1"/>
      <c r="G93" s="1"/>
      <c r="H93" s="1"/>
      <c r="I93" s="1"/>
      <c r="J93" s="1"/>
      <c r="K93" s="1"/>
      <c r="L93" s="1"/>
      <c r="M93" s="1"/>
      <c r="N93" s="1"/>
    </row>
    <row r="94" spans="1:14" ht="18" customHeight="1">
      <c r="A94" s="1"/>
      <c r="B94" s="1"/>
      <c r="C94" s="1"/>
      <c r="D94" s="1"/>
      <c r="E94" s="1"/>
      <c r="F94" s="1"/>
      <c r="G94" s="1"/>
      <c r="H94" s="1"/>
      <c r="I94" s="1"/>
      <c r="J94" s="1"/>
      <c r="K94" s="1"/>
      <c r="L94" s="1"/>
      <c r="M94" s="1"/>
      <c r="N94" s="1"/>
    </row>
    <row r="95" spans="1:14" ht="18" customHeight="1">
      <c r="A95" s="1"/>
      <c r="B95" s="1"/>
      <c r="C95" s="1"/>
      <c r="D95" s="1"/>
      <c r="E95" s="1"/>
      <c r="F95" s="1"/>
      <c r="G95" s="1"/>
      <c r="H95" s="1"/>
      <c r="I95" s="1"/>
      <c r="J95" s="1"/>
      <c r="K95" s="1"/>
      <c r="L95" s="1"/>
      <c r="M95" s="1"/>
      <c r="N95" s="1"/>
    </row>
    <row r="96" spans="1:14" ht="18" customHeight="1">
      <c r="A96" s="1"/>
      <c r="B96" s="1"/>
      <c r="C96" s="1"/>
      <c r="D96" s="1"/>
      <c r="E96" s="1"/>
      <c r="F96" s="1"/>
      <c r="G96" s="1"/>
      <c r="H96" s="1"/>
      <c r="I96" s="1"/>
      <c r="J96" s="1"/>
      <c r="K96" s="1"/>
      <c r="L96" s="1"/>
      <c r="M96" s="1"/>
      <c r="N96" s="1"/>
    </row>
    <row r="97" spans="1:14" ht="18" customHeight="1">
      <c r="A97" s="1"/>
      <c r="B97" s="1"/>
      <c r="C97" s="1"/>
      <c r="D97" s="1"/>
      <c r="E97" s="1"/>
      <c r="F97" s="1"/>
      <c r="G97" s="1"/>
      <c r="H97" s="1"/>
      <c r="I97" s="1"/>
      <c r="J97" s="1"/>
      <c r="K97" s="1"/>
      <c r="L97" s="1"/>
      <c r="M97" s="1"/>
      <c r="N97" s="1"/>
    </row>
    <row r="98" spans="1:14" ht="18" customHeight="1">
      <c r="A98" s="1"/>
      <c r="B98" s="1"/>
      <c r="C98" s="1"/>
      <c r="D98" s="1"/>
      <c r="E98" s="1"/>
      <c r="F98" s="1"/>
      <c r="G98" s="1"/>
      <c r="H98" s="1"/>
      <c r="I98" s="1"/>
      <c r="J98" s="1"/>
      <c r="K98" s="1"/>
      <c r="L98" s="1"/>
      <c r="M98" s="1"/>
      <c r="N98" s="1"/>
    </row>
    <row r="99" spans="1:14" ht="18" customHeight="1">
      <c r="A99" s="1"/>
      <c r="B99" s="1"/>
      <c r="C99" s="1"/>
      <c r="D99" s="1"/>
      <c r="E99" s="1"/>
      <c r="F99" s="1"/>
      <c r="G99" s="1"/>
      <c r="H99" s="1"/>
      <c r="I99" s="1"/>
      <c r="J99" s="1"/>
      <c r="K99" s="1"/>
      <c r="L99" s="1"/>
      <c r="M99" s="1"/>
      <c r="N99" s="1"/>
    </row>
    <row r="100" spans="1:14" ht="18" customHeight="1">
      <c r="A100" s="1"/>
      <c r="B100" s="1"/>
      <c r="C100" s="1"/>
      <c r="D100" s="1"/>
      <c r="E100" s="1"/>
      <c r="F100" s="1"/>
      <c r="G100" s="1"/>
      <c r="H100" s="1"/>
      <c r="I100" s="1"/>
      <c r="J100" s="1"/>
      <c r="K100" s="1"/>
      <c r="L100" s="1"/>
      <c r="M100" s="1"/>
      <c r="N100" s="1"/>
    </row>
    <row r="101" spans="1:14" ht="18" customHeight="1">
      <c r="A101" s="1"/>
      <c r="B101" s="1"/>
      <c r="C101" s="1"/>
      <c r="D101" s="1"/>
      <c r="E101" s="1"/>
      <c r="F101" s="1"/>
      <c r="G101" s="1"/>
      <c r="H101" s="1"/>
      <c r="I101" s="1"/>
      <c r="J101" s="1"/>
      <c r="K101" s="1"/>
      <c r="L101" s="1"/>
      <c r="M101" s="1"/>
      <c r="N101" s="1"/>
    </row>
    <row r="102" spans="1:14" ht="18" customHeight="1">
      <c r="A102" s="1"/>
      <c r="B102" s="1"/>
      <c r="C102" s="1"/>
      <c r="D102" s="1"/>
      <c r="E102" s="1"/>
      <c r="F102" s="1"/>
      <c r="G102" s="1"/>
      <c r="H102" s="1"/>
      <c r="I102" s="1"/>
      <c r="J102" s="1"/>
      <c r="K102" s="1"/>
      <c r="L102" s="1"/>
      <c r="M102" s="1"/>
      <c r="N102" s="1"/>
    </row>
    <row r="103" spans="1:14" ht="18" customHeight="1">
      <c r="A103" s="1"/>
      <c r="B103" s="1"/>
      <c r="C103" s="1"/>
      <c r="D103" s="1"/>
      <c r="E103" s="1"/>
      <c r="F103" s="1"/>
      <c r="G103" s="1"/>
      <c r="H103" s="1"/>
      <c r="I103" s="1"/>
      <c r="J103" s="1"/>
      <c r="K103" s="1"/>
      <c r="L103" s="1"/>
      <c r="M103" s="1"/>
      <c r="N103" s="1"/>
    </row>
    <row r="104" spans="1:14" ht="18" customHeight="1">
      <c r="A104" s="1"/>
      <c r="B104" s="1"/>
      <c r="C104" s="1"/>
      <c r="D104" s="1"/>
      <c r="E104" s="1"/>
      <c r="F104" s="1"/>
      <c r="G104" s="1"/>
      <c r="H104" s="1"/>
      <c r="I104" s="1"/>
      <c r="J104" s="1"/>
      <c r="K104" s="1"/>
      <c r="L104" s="1"/>
      <c r="M104" s="1"/>
      <c r="N104" s="1"/>
    </row>
    <row r="105" spans="1:14" ht="18" customHeight="1">
      <c r="A105" s="1"/>
      <c r="B105" s="1"/>
      <c r="C105" s="1"/>
      <c r="D105" s="1"/>
      <c r="E105" s="1"/>
      <c r="F105" s="1"/>
      <c r="G105" s="1"/>
      <c r="H105" s="1"/>
      <c r="I105" s="1"/>
      <c r="J105" s="1"/>
      <c r="K105" s="1"/>
      <c r="L105" s="1"/>
      <c r="M105" s="1"/>
      <c r="N105" s="1"/>
    </row>
    <row r="106" spans="1:14" ht="18" customHeight="1">
      <c r="A106" s="1"/>
      <c r="B106" s="1"/>
      <c r="C106" s="1"/>
      <c r="D106" s="1"/>
      <c r="E106" s="1"/>
      <c r="F106" s="1"/>
      <c r="G106" s="1"/>
      <c r="H106" s="1"/>
      <c r="I106" s="1"/>
      <c r="J106" s="1"/>
      <c r="K106" s="1"/>
      <c r="L106" s="1"/>
      <c r="M106" s="1"/>
      <c r="N106" s="1"/>
    </row>
    <row r="107" spans="1:14" ht="18" customHeight="1">
      <c r="A107" s="1"/>
      <c r="B107" s="1"/>
      <c r="C107" s="1"/>
      <c r="D107" s="1"/>
      <c r="E107" s="1"/>
      <c r="F107" s="1"/>
      <c r="G107" s="1"/>
      <c r="H107" s="1"/>
      <c r="I107" s="1"/>
      <c r="J107" s="1"/>
      <c r="K107" s="1"/>
      <c r="L107" s="1"/>
      <c r="M107" s="1"/>
      <c r="N107" s="1"/>
    </row>
    <row r="108" spans="1:14" ht="18" customHeight="1">
      <c r="A108" s="1"/>
      <c r="B108" s="1"/>
      <c r="C108" s="1"/>
      <c r="D108" s="1"/>
      <c r="E108" s="1"/>
      <c r="F108" s="1"/>
      <c r="G108" s="1"/>
      <c r="H108" s="1"/>
      <c r="I108" s="1"/>
      <c r="J108" s="1"/>
      <c r="K108" s="1"/>
      <c r="L108" s="1"/>
      <c r="M108" s="1"/>
      <c r="N108" s="1"/>
    </row>
    <row r="109" spans="1:14" ht="18" customHeight="1">
      <c r="A109" s="1"/>
      <c r="B109" s="1"/>
      <c r="C109" s="1"/>
      <c r="D109" s="1"/>
      <c r="E109" s="1"/>
      <c r="F109" s="1"/>
      <c r="G109" s="1"/>
      <c r="H109" s="1"/>
      <c r="I109" s="1"/>
      <c r="J109" s="1"/>
      <c r="K109" s="1"/>
      <c r="L109" s="1"/>
      <c r="M109" s="1"/>
      <c r="N109" s="1"/>
    </row>
    <row r="110" spans="1:14" ht="18" customHeight="1">
      <c r="A110" s="1"/>
      <c r="B110" s="1"/>
      <c r="C110" s="1"/>
      <c r="D110" s="1"/>
      <c r="E110" s="1"/>
      <c r="F110" s="1"/>
      <c r="G110" s="1"/>
      <c r="H110" s="1"/>
      <c r="I110" s="1"/>
      <c r="J110" s="1"/>
      <c r="K110" s="1"/>
      <c r="L110" s="1"/>
      <c r="M110" s="1"/>
      <c r="N110" s="1"/>
    </row>
    <row r="111" spans="1:14" ht="18" customHeight="1">
      <c r="A111" s="1"/>
      <c r="B111" s="1"/>
      <c r="C111" s="1"/>
      <c r="D111" s="1"/>
      <c r="E111" s="1"/>
      <c r="F111" s="1"/>
      <c r="G111" s="1"/>
      <c r="H111" s="1"/>
      <c r="I111" s="1"/>
      <c r="J111" s="1"/>
      <c r="K111" s="1"/>
      <c r="L111" s="1"/>
      <c r="M111" s="1"/>
      <c r="N111" s="1"/>
    </row>
    <row r="112" spans="1:14" ht="18" customHeight="1">
      <c r="A112" s="1"/>
      <c r="B112" s="1"/>
      <c r="C112" s="1"/>
      <c r="D112" s="1"/>
      <c r="E112" s="1"/>
      <c r="F112" s="1"/>
      <c r="G112" s="1"/>
      <c r="H112" s="1"/>
      <c r="I112" s="1"/>
      <c r="J112" s="1"/>
      <c r="K112" s="1"/>
      <c r="L112" s="1"/>
      <c r="M112" s="1"/>
      <c r="N112" s="1"/>
    </row>
    <row r="113" spans="1:14" ht="18" customHeight="1">
      <c r="A113" s="1"/>
      <c r="B113" s="1"/>
      <c r="C113" s="1"/>
      <c r="D113" s="1"/>
      <c r="E113" s="1"/>
      <c r="F113" s="1"/>
      <c r="G113" s="1"/>
      <c r="H113" s="1"/>
      <c r="I113" s="1"/>
      <c r="J113" s="1"/>
      <c r="K113" s="1"/>
      <c r="L113" s="1"/>
      <c r="M113" s="1"/>
      <c r="N113" s="1"/>
    </row>
    <row r="114" spans="1:14" ht="18" customHeight="1">
      <c r="A114" s="1"/>
      <c r="B114" s="1"/>
      <c r="C114" s="1"/>
      <c r="D114" s="1"/>
      <c r="E114" s="1"/>
      <c r="F114" s="1"/>
      <c r="G114" s="1"/>
      <c r="H114" s="1"/>
      <c r="I114" s="1"/>
      <c r="J114" s="1"/>
      <c r="K114" s="1"/>
      <c r="L114" s="1"/>
      <c r="M114" s="1"/>
      <c r="N114" s="1"/>
    </row>
    <row r="115" spans="1:14" ht="18" customHeight="1">
      <c r="A115" s="1"/>
      <c r="B115" s="1"/>
      <c r="C115" s="1"/>
      <c r="D115" s="1"/>
      <c r="E115" s="1"/>
      <c r="F115" s="1"/>
      <c r="G115" s="1"/>
      <c r="H115" s="1"/>
      <c r="I115" s="1"/>
      <c r="J115" s="1"/>
      <c r="K115" s="1"/>
      <c r="L115" s="1"/>
      <c r="M115" s="1"/>
      <c r="N115" s="1"/>
    </row>
    <row r="116" spans="1:14" ht="18" customHeight="1">
      <c r="A116" s="1"/>
      <c r="B116" s="1"/>
      <c r="C116" s="1"/>
      <c r="D116" s="1"/>
      <c r="E116" s="1"/>
      <c r="F116" s="1"/>
      <c r="G116" s="1"/>
      <c r="H116" s="1"/>
      <c r="I116" s="1"/>
      <c r="J116" s="1"/>
      <c r="K116" s="1"/>
      <c r="L116" s="1"/>
      <c r="M116" s="1"/>
      <c r="N116" s="1"/>
    </row>
    <row r="117" spans="1:14" ht="18" customHeight="1">
      <c r="A117" s="1"/>
      <c r="B117" s="1"/>
      <c r="C117" s="1"/>
      <c r="D117" s="1"/>
      <c r="E117" s="1"/>
      <c r="F117" s="1"/>
      <c r="G117" s="1"/>
      <c r="H117" s="1"/>
      <c r="I117" s="1"/>
      <c r="J117" s="1"/>
      <c r="K117" s="1"/>
      <c r="L117" s="1"/>
      <c r="M117" s="1"/>
      <c r="N117" s="1"/>
    </row>
    <row r="118" spans="1:14" ht="18" customHeight="1">
      <c r="A118" s="1"/>
      <c r="B118" s="1"/>
      <c r="C118" s="1"/>
      <c r="D118" s="1"/>
      <c r="E118" s="1"/>
      <c r="F118" s="1"/>
      <c r="G118" s="1"/>
      <c r="H118" s="1"/>
      <c r="I118" s="1"/>
      <c r="J118" s="1"/>
      <c r="K118" s="1"/>
      <c r="L118" s="1"/>
      <c r="M118" s="1"/>
      <c r="N118" s="1"/>
    </row>
    <row r="119" spans="1:14" ht="18" customHeight="1">
      <c r="A119" s="1"/>
      <c r="B119" s="1"/>
      <c r="C119" s="1"/>
      <c r="D119" s="1"/>
      <c r="E119" s="1"/>
      <c r="F119" s="1"/>
      <c r="G119" s="1"/>
      <c r="H119" s="1"/>
      <c r="I119" s="1"/>
      <c r="J119" s="1"/>
      <c r="K119" s="1"/>
      <c r="L119" s="1"/>
      <c r="M119" s="1"/>
      <c r="N119" s="1"/>
    </row>
    <row r="120" spans="1:14" ht="18" customHeight="1">
      <c r="A120" s="1"/>
      <c r="B120" s="1"/>
      <c r="C120" s="1"/>
      <c r="D120" s="1"/>
      <c r="E120" s="1"/>
      <c r="F120" s="1"/>
      <c r="G120" s="1"/>
      <c r="H120" s="1"/>
      <c r="I120" s="1"/>
      <c r="J120" s="1"/>
      <c r="K120" s="1"/>
      <c r="L120" s="1"/>
      <c r="M120" s="1"/>
      <c r="N120" s="1"/>
    </row>
  </sheetData>
  <mergeCells count="3">
    <mergeCell ref="B1:N2"/>
    <mergeCell ref="B18:I18"/>
    <mergeCell ref="B19:I25"/>
  </mergeCells>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E78"/>
  </sheetPr>
  <dimension ref="A1:K72"/>
  <sheetViews>
    <sheetView showGridLines="0" topLeftCell="A25" workbookViewId="0">
      <selection activeCell="I37" sqref="I37"/>
    </sheetView>
  </sheetViews>
  <sheetFormatPr defaultRowHeight="14.25"/>
  <cols>
    <col min="1" max="1" width="2.5" customWidth="1"/>
    <col min="2" max="2" width="31" customWidth="1"/>
    <col min="3" max="5" width="14" customWidth="1"/>
    <col min="6" max="6" width="42" customWidth="1"/>
    <col min="7" max="11" width="14" customWidth="1"/>
  </cols>
  <sheetData>
    <row r="1" spans="1:11" ht="24">
      <c r="A1" s="43"/>
      <c r="B1" s="44" t="s">
        <v>461</v>
      </c>
      <c r="C1" s="44"/>
      <c r="D1" s="44"/>
      <c r="E1" s="44"/>
      <c r="F1" s="44"/>
      <c r="G1" s="44"/>
      <c r="H1" s="44"/>
      <c r="I1" s="44"/>
      <c r="J1" s="44"/>
      <c r="K1" s="44"/>
    </row>
    <row r="2" spans="1:11" ht="24">
      <c r="A2" s="43"/>
      <c r="B2" s="44"/>
      <c r="C2" s="44"/>
      <c r="D2" s="44"/>
      <c r="E2" s="44"/>
      <c r="F2" s="44"/>
      <c r="G2" s="44"/>
      <c r="H2" s="44"/>
      <c r="I2" s="44"/>
      <c r="J2" s="44"/>
      <c r="K2" s="44"/>
    </row>
    <row r="3" spans="1:11" ht="15">
      <c r="A3" s="43"/>
      <c r="B3" s="45" t="s">
        <v>462</v>
      </c>
      <c r="C3" s="45"/>
      <c r="D3" s="45"/>
      <c r="E3" s="45"/>
      <c r="F3" s="45"/>
      <c r="G3" s="45"/>
      <c r="H3" s="45"/>
      <c r="I3" s="45"/>
      <c r="J3" s="45"/>
      <c r="K3" s="45"/>
    </row>
    <row r="4" spans="1:11" ht="15">
      <c r="A4" s="43"/>
      <c r="B4" s="46" t="s">
        <v>463</v>
      </c>
      <c r="C4" s="46"/>
      <c r="D4" s="46"/>
      <c r="E4" s="46"/>
      <c r="F4" s="46"/>
      <c r="G4" s="46"/>
      <c r="H4" s="46"/>
      <c r="I4" s="46"/>
      <c r="J4" s="46"/>
      <c r="K4" s="46"/>
    </row>
    <row r="5" spans="1:11" ht="15">
      <c r="A5" s="43"/>
      <c r="B5" s="47" t="s">
        <v>142</v>
      </c>
      <c r="C5" s="48" t="s">
        <v>464</v>
      </c>
      <c r="D5" s="48" t="s">
        <v>465</v>
      </c>
      <c r="E5" s="48" t="s">
        <v>466</v>
      </c>
      <c r="F5" s="48" t="s">
        <v>467</v>
      </c>
      <c r="G5" s="48" t="s">
        <v>468</v>
      </c>
      <c r="H5" s="48" t="s">
        <v>469</v>
      </c>
      <c r="I5" s="48" t="s">
        <v>470</v>
      </c>
      <c r="J5" s="48" t="s">
        <v>471</v>
      </c>
      <c r="K5" s="49" t="s">
        <v>472</v>
      </c>
    </row>
    <row r="6" spans="1:11" ht="15">
      <c r="A6" s="43"/>
      <c r="B6" s="43" t="s">
        <v>473</v>
      </c>
      <c r="C6" s="54">
        <f>과거재무제표!D19</f>
        <v>649583.12050399999</v>
      </c>
      <c r="D6" s="54">
        <f>과거재무제표!E19</f>
        <v>704039.17624099995</v>
      </c>
      <c r="E6" s="54">
        <f>과거재무제표!F19</f>
        <v>722873.92219199997</v>
      </c>
      <c r="F6" s="43" t="s">
        <v>474</v>
      </c>
      <c r="G6" s="43"/>
      <c r="H6" s="43"/>
      <c r="I6" s="43"/>
      <c r="J6" s="43"/>
      <c r="K6" s="43"/>
    </row>
    <row r="7" spans="1:11" ht="15">
      <c r="A7" s="43"/>
      <c r="B7" s="43" t="s">
        <v>475</v>
      </c>
      <c r="C7" s="54">
        <v>-4018.6689999999999</v>
      </c>
      <c r="D7" s="54">
        <v>-4189.8909999999996</v>
      </c>
      <c r="E7" s="54">
        <v>-4271.7049999999999</v>
      </c>
      <c r="F7" s="43" t="s">
        <v>476</v>
      </c>
      <c r="G7" s="43"/>
      <c r="H7" s="43"/>
      <c r="I7" s="43"/>
      <c r="J7" s="43"/>
      <c r="K7" s="43"/>
    </row>
    <row r="8" spans="1:11" ht="15">
      <c r="A8" s="43"/>
      <c r="B8" s="43" t="s">
        <v>477</v>
      </c>
      <c r="C8" s="64">
        <v>0</v>
      </c>
      <c r="D8" s="64">
        <v>0</v>
      </c>
      <c r="E8" s="64">
        <v>0</v>
      </c>
      <c r="F8" s="43" t="s">
        <v>545</v>
      </c>
      <c r="G8" s="43"/>
      <c r="H8" s="43"/>
      <c r="I8" s="43"/>
      <c r="J8" s="43"/>
      <c r="K8" s="43"/>
    </row>
    <row r="9" spans="1:11" ht="15">
      <c r="A9" s="43"/>
      <c r="B9" s="43" t="s">
        <v>478</v>
      </c>
      <c r="C9" s="64">
        <v>0</v>
      </c>
      <c r="D9" s="64">
        <v>0</v>
      </c>
      <c r="E9" s="64">
        <v>0</v>
      </c>
      <c r="F9" s="43" t="s">
        <v>546</v>
      </c>
      <c r="G9" s="43"/>
      <c r="H9" s="43"/>
      <c r="I9" s="43"/>
      <c r="J9" s="43"/>
      <c r="K9" s="43"/>
    </row>
    <row r="10" spans="1:11" ht="15">
      <c r="A10" s="43"/>
      <c r="B10" s="43" t="s">
        <v>479</v>
      </c>
      <c r="C10" s="64">
        <v>0</v>
      </c>
      <c r="D10" s="64">
        <v>0</v>
      </c>
      <c r="E10" s="64">
        <v>0</v>
      </c>
      <c r="F10" s="43" t="s">
        <v>547</v>
      </c>
      <c r="G10" s="43"/>
      <c r="H10" s="43"/>
      <c r="I10" s="43"/>
      <c r="J10" s="43"/>
      <c r="K10" s="43"/>
    </row>
    <row r="11" spans="1:11" ht="15">
      <c r="A11" s="43"/>
      <c r="B11" s="43" t="s">
        <v>480</v>
      </c>
      <c r="C11" s="64">
        <v>0</v>
      </c>
      <c r="D11" s="64">
        <v>0</v>
      </c>
      <c r="E11" s="64">
        <v>0</v>
      </c>
      <c r="F11" s="43" t="s">
        <v>548</v>
      </c>
      <c r="G11" s="43"/>
      <c r="H11" s="43"/>
      <c r="I11" s="43"/>
      <c r="J11" s="43"/>
      <c r="K11" s="43"/>
    </row>
    <row r="12" spans="1:11" ht="15">
      <c r="A12" s="43"/>
      <c r="B12" s="43" t="s">
        <v>481</v>
      </c>
      <c r="C12" s="64">
        <v>0</v>
      </c>
      <c r="D12" s="64">
        <v>0</v>
      </c>
      <c r="E12" s="64">
        <v>0</v>
      </c>
      <c r="F12" s="43" t="s">
        <v>549</v>
      </c>
      <c r="G12" s="43"/>
      <c r="H12" s="43"/>
      <c r="I12" s="43"/>
      <c r="J12" s="43"/>
      <c r="K12" s="43"/>
    </row>
    <row r="13" spans="1:11" ht="15">
      <c r="A13" s="43"/>
      <c r="B13" s="43" t="s">
        <v>482</v>
      </c>
      <c r="C13" s="54">
        <f>SUM(C6:C12)</f>
        <v>645564.451504</v>
      </c>
      <c r="D13" s="54">
        <f>SUM(D6:D12)</f>
        <v>699849.28524100001</v>
      </c>
      <c r="E13" s="54">
        <f>SUM(E6:E12)</f>
        <v>718602.21719200001</v>
      </c>
      <c r="F13" s="43"/>
      <c r="G13" s="43"/>
      <c r="H13" s="43"/>
      <c r="I13" s="43"/>
      <c r="J13" s="43"/>
      <c r="K13" s="43"/>
    </row>
    <row r="14" spans="1:11" ht="15">
      <c r="A14" s="43"/>
      <c r="B14" s="43" t="s">
        <v>483</v>
      </c>
      <c r="C14" s="55">
        <f>C13/과거재무제표!D7</f>
        <v>0.22166383394275502</v>
      </c>
      <c r="D14" s="55">
        <f>D13/과거재무제표!E7</f>
        <v>0.22544231825179559</v>
      </c>
      <c r="E14" s="55">
        <f>E13/과거재무제표!F7</f>
        <v>0.21563829213815044</v>
      </c>
      <c r="F14" s="43"/>
      <c r="G14" s="43"/>
      <c r="H14" s="43"/>
      <c r="I14" s="43"/>
      <c r="J14" s="43"/>
      <c r="K14" s="43"/>
    </row>
    <row r="15" spans="1:11" ht="15">
      <c r="A15" s="43"/>
      <c r="B15" s="43" t="s">
        <v>484</v>
      </c>
      <c r="C15" s="43"/>
      <c r="D15" s="43"/>
      <c r="E15" s="43"/>
      <c r="F15" s="43" t="s">
        <v>485</v>
      </c>
      <c r="G15" s="64">
        <v>-4055.0740000000001</v>
      </c>
      <c r="H15" s="64">
        <v>-4055.0740000000001</v>
      </c>
      <c r="I15" s="64">
        <v>-4055.0740000000001</v>
      </c>
      <c r="J15" s="64">
        <v>-4055.0740000000001</v>
      </c>
      <c r="K15" s="64">
        <v>-4055.0740000000001</v>
      </c>
    </row>
    <row r="16" spans="1:11" ht="15">
      <c r="A16" s="43"/>
      <c r="B16" s="43" t="s">
        <v>486</v>
      </c>
      <c r="C16" s="43"/>
      <c r="D16" s="43"/>
      <c r="E16" s="43"/>
      <c r="F16" s="43" t="s">
        <v>487</v>
      </c>
      <c r="G16" s="64">
        <v>-216.631</v>
      </c>
      <c r="H16" s="64">
        <v>-216.631</v>
      </c>
      <c r="I16" s="64">
        <v>-216.631</v>
      </c>
      <c r="J16" s="64">
        <v>-216.631</v>
      </c>
      <c r="K16" s="64">
        <v>-216.631</v>
      </c>
    </row>
    <row r="17" spans="1:11" ht="15">
      <c r="A17" s="43"/>
      <c r="B17" s="43" t="s">
        <v>488</v>
      </c>
      <c r="C17" s="43">
        <v>20940.571</v>
      </c>
      <c r="D17" s="43">
        <v>35836.663</v>
      </c>
      <c r="E17" s="43">
        <v>12583</v>
      </c>
      <c r="F17" s="43" t="s">
        <v>489</v>
      </c>
      <c r="G17" s="54">
        <f>영업실적추정!F7*G18</f>
        <v>13439.386366602001</v>
      </c>
      <c r="H17" s="54">
        <f>영업실적추정!G7*H18</f>
        <v>14149.19473696456</v>
      </c>
      <c r="I17" s="54">
        <f>영업실적추정!H7*I18</f>
        <v>14812.206839943272</v>
      </c>
      <c r="J17" s="54">
        <f>영업실적추정!I7*J18</f>
        <v>15467.316430898583</v>
      </c>
      <c r="K17" s="54">
        <f>영업실적추정!J7*K18</f>
        <v>16054.085967644003</v>
      </c>
    </row>
    <row r="18" spans="1:11" ht="15">
      <c r="A18" s="43"/>
      <c r="B18" s="43" t="s">
        <v>490</v>
      </c>
      <c r="C18" s="55">
        <f>C17/과거재무제표!D7</f>
        <v>7.1902460583081074E-3</v>
      </c>
      <c r="D18" s="55">
        <f>D17/과거재무제표!E7</f>
        <v>1.1544057492816085E-2</v>
      </c>
      <c r="E18" s="55">
        <f>E17/과거재무제표!F7</f>
        <v>3.7759090704967478E-3</v>
      </c>
      <c r="F18" s="43" t="s">
        <v>491</v>
      </c>
      <c r="G18" s="66">
        <v>3.8E-3</v>
      </c>
      <c r="H18" s="66">
        <v>3.8E-3</v>
      </c>
      <c r="I18" s="66">
        <v>3.8E-3</v>
      </c>
      <c r="J18" s="66">
        <v>3.8E-3</v>
      </c>
      <c r="K18" s="66">
        <v>3.8E-3</v>
      </c>
    </row>
    <row r="19" spans="1:11" ht="15">
      <c r="A19" s="43"/>
      <c r="B19" s="43"/>
      <c r="C19" s="43"/>
      <c r="D19" s="43"/>
      <c r="E19" s="43"/>
      <c r="F19" s="43"/>
      <c r="G19" s="43"/>
      <c r="H19" s="43"/>
      <c r="I19" s="43"/>
      <c r="J19" s="43"/>
      <c r="K19" s="43"/>
    </row>
    <row r="20" spans="1:11" ht="15">
      <c r="A20" s="43"/>
      <c r="B20" s="43"/>
      <c r="C20" s="43"/>
      <c r="D20" s="43"/>
      <c r="E20" s="43"/>
      <c r="F20" s="43"/>
      <c r="G20" s="43"/>
      <c r="H20" s="43"/>
      <c r="I20" s="43"/>
      <c r="J20" s="43"/>
      <c r="K20" s="43"/>
    </row>
    <row r="21" spans="1:11" ht="15">
      <c r="A21" s="43"/>
      <c r="B21" s="46" t="s">
        <v>492</v>
      </c>
      <c r="C21" s="46"/>
      <c r="D21" s="46"/>
      <c r="E21" s="46"/>
      <c r="F21" s="46"/>
      <c r="G21" s="43"/>
      <c r="H21" s="46" t="s">
        <v>493</v>
      </c>
      <c r="I21" s="46"/>
      <c r="J21" s="46"/>
      <c r="K21" s="46"/>
    </row>
    <row r="22" spans="1:11" ht="15">
      <c r="A22" s="43"/>
      <c r="B22" s="47" t="s">
        <v>142</v>
      </c>
      <c r="C22" s="48" t="s">
        <v>464</v>
      </c>
      <c r="D22" s="48" t="s">
        <v>465</v>
      </c>
      <c r="E22" s="48" t="s">
        <v>466</v>
      </c>
      <c r="F22" s="49" t="s">
        <v>467</v>
      </c>
      <c r="G22" s="43"/>
      <c r="H22" s="52" t="s">
        <v>47</v>
      </c>
      <c r="I22" s="54">
        <f>E6</f>
        <v>722873.92219199997</v>
      </c>
      <c r="J22" s="43"/>
      <c r="K22" s="43"/>
    </row>
    <row r="23" spans="1:11" ht="15">
      <c r="A23" s="43"/>
      <c r="B23" s="43" t="s">
        <v>147</v>
      </c>
      <c r="C23" s="54">
        <f>과거재무제표!D7</f>
        <v>2912358.0514750001</v>
      </c>
      <c r="D23" s="54">
        <f>과거재무제표!E7</f>
        <v>3104338.5761290002</v>
      </c>
      <c r="E23" s="54">
        <f>과거재무제표!F7</f>
        <v>3332442.5363730001</v>
      </c>
      <c r="F23" s="43"/>
      <c r="G23" s="43"/>
      <c r="H23" s="52" t="s">
        <v>50</v>
      </c>
      <c r="I23" s="54">
        <f>E13</f>
        <v>718602.21719200001</v>
      </c>
      <c r="J23" s="43"/>
      <c r="K23" s="43"/>
    </row>
    <row r="24" spans="1:11" ht="15">
      <c r="A24" s="43"/>
      <c r="B24" s="43" t="s">
        <v>193</v>
      </c>
      <c r="C24" s="54">
        <f>과거재무제표!D39</f>
        <v>191028.999866</v>
      </c>
      <c r="D24" s="54">
        <f>과거재무제표!E39</f>
        <v>177313.941701</v>
      </c>
      <c r="E24" s="54">
        <f>과거재무제표!F39</f>
        <v>181999.325832</v>
      </c>
      <c r="F24" s="43"/>
      <c r="G24" s="43"/>
      <c r="H24" s="52" t="s">
        <v>53</v>
      </c>
      <c r="I24" s="54">
        <f>E13-E6</f>
        <v>-4271.7049999999581</v>
      </c>
      <c r="J24" s="43"/>
      <c r="K24" s="43"/>
    </row>
    <row r="25" spans="1:11" ht="15">
      <c r="A25" s="43"/>
      <c r="B25" s="43" t="s">
        <v>195</v>
      </c>
      <c r="C25" s="54">
        <f>과거재무제표!D40</f>
        <v>259736.42755299999</v>
      </c>
      <c r="D25" s="54">
        <f>과거재무제표!E40</f>
        <v>316592.19940300001</v>
      </c>
      <c r="E25" s="54">
        <f>과거재무제표!F40</f>
        <v>321414.68328300002</v>
      </c>
      <c r="F25" s="43"/>
      <c r="G25" s="43"/>
      <c r="H25" s="52" t="s">
        <v>494</v>
      </c>
      <c r="I25" s="54">
        <f>E57</f>
        <v>-1186614.6815895401</v>
      </c>
      <c r="J25" s="43"/>
      <c r="K25" s="43"/>
    </row>
    <row r="26" spans="1:11" ht="15">
      <c r="A26" s="43"/>
      <c r="B26" s="43" t="s">
        <v>262</v>
      </c>
      <c r="C26" s="54">
        <f>과거재무제표!D41</f>
        <v>22932.594034999998</v>
      </c>
      <c r="D26" s="54">
        <f>과거재무제표!E41</f>
        <v>25822.384214000002</v>
      </c>
      <c r="E26" s="54">
        <f>과거재무제표!F41</f>
        <v>28585.443362999998</v>
      </c>
      <c r="F26" s="43"/>
      <c r="G26" s="43"/>
      <c r="H26" s="52" t="s">
        <v>495</v>
      </c>
      <c r="I26" s="54">
        <f>E35</f>
        <v>-980.04834917101834</v>
      </c>
      <c r="J26" s="43"/>
      <c r="K26" s="43"/>
    </row>
    <row r="27" spans="1:11" ht="15">
      <c r="A27" s="43"/>
      <c r="B27" s="43" t="s">
        <v>218</v>
      </c>
      <c r="C27" s="54">
        <f>과거재무제표!D56</f>
        <v>122719.827001</v>
      </c>
      <c r="D27" s="54">
        <f>과거재무제표!E56</f>
        <v>163191.290408</v>
      </c>
      <c r="E27" s="54">
        <f>과거재무제표!F56</f>
        <v>145821.14516700001</v>
      </c>
      <c r="F27" s="43"/>
      <c r="G27" s="43"/>
      <c r="H27" s="52" t="s">
        <v>51</v>
      </c>
      <c r="I27" s="54">
        <f>E68</f>
        <v>1801499.0204469999</v>
      </c>
      <c r="J27" s="43"/>
      <c r="K27" s="43"/>
    </row>
    <row r="28" spans="1:11" ht="15">
      <c r="A28" s="43"/>
      <c r="B28" s="43" t="s">
        <v>265</v>
      </c>
      <c r="C28" s="54">
        <f>SUM(과거재무제표!D57:D58)-C29</f>
        <v>196719.52991400001</v>
      </c>
      <c r="D28" s="54">
        <f>SUM(과거재무제표!E57:E58)-D29</f>
        <v>301156.90186699998</v>
      </c>
      <c r="E28" s="54">
        <f>SUM(과거재무제표!F57:F58)-E29</f>
        <v>269668.94020900002</v>
      </c>
      <c r="F28" s="43" t="s">
        <v>496</v>
      </c>
      <c r="G28" s="43"/>
      <c r="H28" s="52" t="s">
        <v>54</v>
      </c>
      <c r="I28" s="54">
        <f>E69</f>
        <v>103543.70338799999</v>
      </c>
      <c r="J28" s="43"/>
      <c r="K28" s="43"/>
    </row>
    <row r="29" spans="1:11" ht="16.5">
      <c r="A29" s="43"/>
      <c r="B29" s="43" t="s">
        <v>497</v>
      </c>
      <c r="C29" s="64">
        <v>13687</v>
      </c>
      <c r="D29" s="64">
        <v>1</v>
      </c>
      <c r="E29" s="64">
        <f>C29*D29</f>
        <v>13687</v>
      </c>
      <c r="F29" s="43" t="s">
        <v>550</v>
      </c>
      <c r="G29" s="43"/>
      <c r="H29" s="52" t="s">
        <v>338</v>
      </c>
      <c r="I29" s="63">
        <f>E71</f>
        <v>2884569.9986485401</v>
      </c>
      <c r="J29" s="43"/>
      <c r="K29" s="43"/>
    </row>
    <row r="30" spans="1:11" ht="15">
      <c r="A30" s="43"/>
      <c r="B30" s="43" t="s">
        <v>498</v>
      </c>
      <c r="C30" s="54">
        <f>SUM(C24:C26)-SUM(C27:C28)</f>
        <v>154258.66453899996</v>
      </c>
      <c r="D30" s="54">
        <f>SUM(D24:D26)-SUM(D27:D28)</f>
        <v>55380.333043000079</v>
      </c>
      <c r="E30" s="54">
        <f>SUM(E24:E26)-SUM(E27:E28)</f>
        <v>116509.36710199993</v>
      </c>
      <c r="F30" s="43"/>
      <c r="G30" s="43"/>
      <c r="H30" s="43"/>
      <c r="I30" s="43"/>
      <c r="J30" s="43"/>
      <c r="K30" s="43"/>
    </row>
    <row r="31" spans="1:11" ht="15">
      <c r="A31" s="43"/>
      <c r="B31" s="43" t="s">
        <v>499</v>
      </c>
      <c r="C31" s="55">
        <f>C30/C23</f>
        <v>5.2966929825429165E-2</v>
      </c>
      <c r="D31" s="55">
        <f>D30/D23</f>
        <v>1.7839656237515621E-2</v>
      </c>
      <c r="E31" s="55">
        <f>E30/E23</f>
        <v>3.4962153384588489E-2</v>
      </c>
      <c r="F31" s="43"/>
      <c r="G31" s="43"/>
      <c r="H31" s="43"/>
      <c r="I31" s="43"/>
      <c r="J31" s="43"/>
      <c r="K31" s="43"/>
    </row>
    <row r="32" spans="1:11" ht="15">
      <c r="A32" s="43"/>
      <c r="B32" s="43" t="s">
        <v>500</v>
      </c>
      <c r="C32" s="55"/>
      <c r="D32" s="55"/>
      <c r="E32" s="55">
        <f>AVERAGE(C31:E31)</f>
        <v>3.5256246482511099E-2</v>
      </c>
      <c r="F32" s="43" t="s">
        <v>551</v>
      </c>
      <c r="G32" s="43"/>
      <c r="H32" s="46" t="s">
        <v>501</v>
      </c>
      <c r="I32" s="46"/>
      <c r="J32" s="46"/>
      <c r="K32" s="46"/>
    </row>
    <row r="33" spans="1:11" ht="36.75">
      <c r="A33" s="43"/>
      <c r="B33" s="43" t="s">
        <v>502</v>
      </c>
      <c r="C33" s="43"/>
      <c r="D33" s="43"/>
      <c r="E33" s="54">
        <f>E23*E32</f>
        <v>117489.41545117095</v>
      </c>
      <c r="F33" s="43"/>
      <c r="G33" s="43"/>
      <c r="H33" s="53" t="s">
        <v>503</v>
      </c>
      <c r="I33" s="53" t="s">
        <v>503</v>
      </c>
      <c r="J33" s="53"/>
      <c r="K33" s="53"/>
    </row>
    <row r="34" spans="1:11" ht="48.75">
      <c r="A34" s="43"/>
      <c r="B34" s="43" t="s">
        <v>504</v>
      </c>
      <c r="C34" s="43"/>
      <c r="D34" s="43"/>
      <c r="E34" s="54">
        <f>E30</f>
        <v>116509.36710199993</v>
      </c>
      <c r="F34" s="43"/>
      <c r="G34" s="43"/>
      <c r="H34" s="53" t="s">
        <v>505</v>
      </c>
      <c r="I34" s="53" t="s">
        <v>552</v>
      </c>
      <c r="J34" s="53"/>
      <c r="K34" s="53"/>
    </row>
    <row r="35" spans="1:11" ht="72.75">
      <c r="A35" s="43"/>
      <c r="B35" s="43" t="s">
        <v>495</v>
      </c>
      <c r="C35" s="43"/>
      <c r="D35" s="43"/>
      <c r="E35" s="54">
        <f>E34-E33</f>
        <v>-980.04834917101834</v>
      </c>
      <c r="F35" s="43"/>
      <c r="G35" s="43"/>
      <c r="H35" s="53" t="s">
        <v>506</v>
      </c>
      <c r="I35" s="53" t="s">
        <v>553</v>
      </c>
      <c r="J35" s="53"/>
      <c r="K35" s="53"/>
    </row>
    <row r="36" spans="1:11" ht="60.75">
      <c r="A36" s="43"/>
      <c r="B36" s="43" t="s">
        <v>507</v>
      </c>
      <c r="C36" s="43"/>
      <c r="D36" s="43"/>
      <c r="E36" s="67">
        <v>0</v>
      </c>
      <c r="F36" s="43" t="s">
        <v>508</v>
      </c>
      <c r="G36" s="43"/>
      <c r="H36" s="53" t="s">
        <v>509</v>
      </c>
      <c r="I36" s="53" t="s">
        <v>554</v>
      </c>
      <c r="J36" s="53"/>
      <c r="K36" s="53"/>
    </row>
    <row r="37" spans="1:11" ht="60.75">
      <c r="A37" s="43"/>
      <c r="B37" s="43" t="s">
        <v>334</v>
      </c>
      <c r="C37" s="43"/>
      <c r="D37" s="43"/>
      <c r="E37" s="54">
        <f>E35*E36</f>
        <v>0</v>
      </c>
      <c r="F37" s="43"/>
      <c r="G37" s="43"/>
      <c r="H37" s="53" t="s">
        <v>510</v>
      </c>
      <c r="I37" s="53" t="s">
        <v>555</v>
      </c>
      <c r="J37" s="53"/>
      <c r="K37" s="53"/>
    </row>
    <row r="38" spans="1:11" ht="15">
      <c r="A38" s="43"/>
      <c r="B38" s="43"/>
      <c r="C38" s="43"/>
      <c r="D38" s="43"/>
      <c r="E38" s="43"/>
      <c r="F38" s="43"/>
      <c r="G38" s="43"/>
      <c r="H38" s="43"/>
      <c r="I38" s="43"/>
      <c r="J38" s="43"/>
      <c r="K38" s="43"/>
    </row>
    <row r="39" spans="1:11" ht="15">
      <c r="A39" s="43"/>
      <c r="B39" s="43"/>
      <c r="C39" s="43"/>
      <c r="D39" s="43"/>
      <c r="E39" s="43"/>
      <c r="F39" s="43"/>
      <c r="G39" s="43"/>
      <c r="H39" s="43"/>
      <c r="I39" s="43"/>
      <c r="J39" s="43"/>
      <c r="K39" s="43"/>
    </row>
    <row r="40" spans="1:11" ht="15">
      <c r="A40" s="43"/>
      <c r="B40" s="46" t="s">
        <v>511</v>
      </c>
      <c r="C40" s="46"/>
      <c r="D40" s="46"/>
      <c r="E40" s="46"/>
      <c r="F40" s="46"/>
      <c r="G40" s="43"/>
      <c r="H40" s="43"/>
      <c r="I40" s="43"/>
      <c r="J40" s="43"/>
      <c r="K40" s="43"/>
    </row>
    <row r="41" spans="1:11" ht="15">
      <c r="A41" s="43"/>
      <c r="B41" s="47" t="s">
        <v>142</v>
      </c>
      <c r="C41" s="48" t="s">
        <v>512</v>
      </c>
      <c r="D41" s="48" t="s">
        <v>513</v>
      </c>
      <c r="E41" s="48" t="s">
        <v>514</v>
      </c>
      <c r="F41" s="49" t="s">
        <v>515</v>
      </c>
      <c r="G41" s="43"/>
      <c r="H41" s="43"/>
      <c r="I41" s="43"/>
      <c r="J41" s="43"/>
      <c r="K41" s="43"/>
    </row>
    <row r="42" spans="1:11" ht="15">
      <c r="A42" s="43"/>
      <c r="B42" s="43" t="s">
        <v>186</v>
      </c>
      <c r="C42" s="68">
        <f>과거재무제표!F35</f>
        <v>311390.94445900002</v>
      </c>
      <c r="D42" s="67">
        <v>1</v>
      </c>
      <c r="E42" s="54">
        <f>C42*D42</f>
        <v>311390.94445900002</v>
      </c>
      <c r="F42" s="43" t="s">
        <v>516</v>
      </c>
      <c r="G42" s="43"/>
      <c r="H42" s="43"/>
      <c r="I42" s="43"/>
      <c r="J42" s="43"/>
      <c r="K42" s="43"/>
    </row>
    <row r="43" spans="1:11" ht="15">
      <c r="A43" s="43"/>
      <c r="B43" s="43" t="s">
        <v>517</v>
      </c>
      <c r="C43" s="68">
        <f>-영업실적추정!E7*가정!C39</f>
        <v>-66648.850727459998</v>
      </c>
      <c r="D43" s="67">
        <v>1</v>
      </c>
      <c r="E43" s="54">
        <f>C43*D43</f>
        <v>-66648.850727459998</v>
      </c>
      <c r="F43" s="43" t="s">
        <v>518</v>
      </c>
      <c r="G43" s="43"/>
      <c r="H43" s="43"/>
      <c r="I43" s="43"/>
      <c r="J43" s="43"/>
      <c r="K43" s="43"/>
    </row>
    <row r="44" spans="1:11" ht="15">
      <c r="A44" s="43"/>
      <c r="B44" s="43" t="s">
        <v>188</v>
      </c>
      <c r="C44" s="68">
        <f>과거재무제표!F36</f>
        <v>986075.62283400004</v>
      </c>
      <c r="D44" s="67">
        <v>1</v>
      </c>
      <c r="E44" s="54">
        <f>C44*D44</f>
        <v>986075.62283400004</v>
      </c>
      <c r="F44" s="43" t="s">
        <v>519</v>
      </c>
      <c r="G44" s="43"/>
      <c r="H44" s="43"/>
      <c r="I44" s="43"/>
      <c r="J44" s="43"/>
      <c r="K44" s="43"/>
    </row>
    <row r="45" spans="1:11" ht="15">
      <c r="A45" s="43"/>
      <c r="B45" s="43" t="s">
        <v>520</v>
      </c>
      <c r="C45" s="68">
        <f>과거재무제표!F37</f>
        <v>5000</v>
      </c>
      <c r="D45" s="67">
        <v>1</v>
      </c>
      <c r="E45" s="54">
        <f>C45*D45</f>
        <v>5000</v>
      </c>
      <c r="F45" s="43" t="s">
        <v>521</v>
      </c>
      <c r="G45" s="43"/>
      <c r="H45" s="43"/>
      <c r="I45" s="43"/>
      <c r="J45" s="43"/>
      <c r="K45" s="43"/>
    </row>
    <row r="46" spans="1:11" ht="15">
      <c r="A46" s="43"/>
      <c r="B46" s="43" t="s">
        <v>191</v>
      </c>
      <c r="C46" s="68">
        <f>과거재무제표!F38</f>
        <v>31192.701874999999</v>
      </c>
      <c r="D46" s="67">
        <v>0</v>
      </c>
      <c r="E46" s="54">
        <f>C46*D46</f>
        <v>0</v>
      </c>
      <c r="F46" s="43" t="s">
        <v>522</v>
      </c>
      <c r="G46" s="43"/>
      <c r="H46" s="43"/>
      <c r="I46" s="43"/>
      <c r="J46" s="43"/>
      <c r="K46" s="43"/>
    </row>
    <row r="47" spans="1:11" ht="15">
      <c r="A47" s="43"/>
      <c r="B47" s="50" t="s">
        <v>315</v>
      </c>
      <c r="C47" s="56"/>
      <c r="D47" s="60"/>
      <c r="E47" s="56">
        <f>SUM(E42:E46)</f>
        <v>1235817.7165655401</v>
      </c>
      <c r="F47" s="43"/>
      <c r="G47" s="43"/>
      <c r="H47" s="43"/>
      <c r="I47" s="43"/>
      <c r="J47" s="43"/>
      <c r="K47" s="43"/>
    </row>
    <row r="48" spans="1:11" ht="15">
      <c r="A48" s="43"/>
      <c r="B48" s="43"/>
      <c r="C48" s="54"/>
      <c r="D48" s="55"/>
      <c r="E48" s="54"/>
      <c r="F48" s="43"/>
      <c r="G48" s="43"/>
      <c r="H48" s="43"/>
      <c r="I48" s="43"/>
      <c r="J48" s="43"/>
      <c r="K48" s="43"/>
    </row>
    <row r="49" spans="1:11" ht="15">
      <c r="A49" s="43"/>
      <c r="B49" s="43" t="s">
        <v>213</v>
      </c>
      <c r="C49" s="68">
        <f>과거재무제표!F53</f>
        <v>0</v>
      </c>
      <c r="D49" s="67">
        <v>1</v>
      </c>
      <c r="E49" s="54">
        <f t="shared" ref="E49:E55" si="0">C49*D49</f>
        <v>0</v>
      </c>
      <c r="F49" s="43" t="s">
        <v>523</v>
      </c>
      <c r="G49" s="43"/>
      <c r="H49" s="43"/>
      <c r="I49" s="43"/>
      <c r="J49" s="43"/>
      <c r="K49" s="43"/>
    </row>
    <row r="50" spans="1:11" ht="15">
      <c r="A50" s="43"/>
      <c r="B50" s="43" t="s">
        <v>524</v>
      </c>
      <c r="C50" s="68">
        <f>SUM(과거재무제표!F54:F55)</f>
        <v>35516.034975999995</v>
      </c>
      <c r="D50" s="67">
        <v>1</v>
      </c>
      <c r="E50" s="54">
        <f t="shared" si="0"/>
        <v>35516.034975999995</v>
      </c>
      <c r="F50" s="43" t="s">
        <v>525</v>
      </c>
      <c r="G50" s="43"/>
      <c r="H50" s="43"/>
      <c r="I50" s="43"/>
      <c r="J50" s="43"/>
      <c r="K50" s="43"/>
    </row>
    <row r="51" spans="1:11" ht="15">
      <c r="A51" s="43"/>
      <c r="B51" s="43" t="s">
        <v>526</v>
      </c>
      <c r="C51" s="68">
        <f>21586.434+20654.964</f>
        <v>42241.398000000001</v>
      </c>
      <c r="D51" s="67">
        <v>0</v>
      </c>
      <c r="E51" s="54">
        <f t="shared" si="0"/>
        <v>0</v>
      </c>
      <c r="F51" s="43" t="s">
        <v>556</v>
      </c>
      <c r="G51" s="43"/>
      <c r="H51" s="43"/>
      <c r="I51" s="43"/>
      <c r="J51" s="43"/>
      <c r="K51" s="43"/>
    </row>
    <row r="52" spans="1:11" ht="15">
      <c r="A52" s="43"/>
      <c r="B52" s="43" t="s">
        <v>527</v>
      </c>
      <c r="C52" s="64">
        <v>13687</v>
      </c>
      <c r="D52" s="65">
        <v>1</v>
      </c>
      <c r="E52" s="54">
        <f t="shared" si="0"/>
        <v>13687</v>
      </c>
      <c r="F52" s="43" t="s">
        <v>557</v>
      </c>
      <c r="G52" s="43"/>
      <c r="H52" s="43"/>
      <c r="I52" s="43"/>
      <c r="J52" s="43"/>
      <c r="K52" s="43"/>
    </row>
    <row r="53" spans="1:11" ht="15">
      <c r="A53" s="43"/>
      <c r="B53" s="43" t="s">
        <v>528</v>
      </c>
      <c r="C53" s="64">
        <v>487</v>
      </c>
      <c r="D53" s="65">
        <v>0</v>
      </c>
      <c r="E53" s="54">
        <f t="shared" si="0"/>
        <v>0</v>
      </c>
      <c r="F53" s="43" t="s">
        <v>529</v>
      </c>
      <c r="G53" s="43"/>
      <c r="H53" s="43"/>
      <c r="I53" s="43"/>
      <c r="J53" s="43"/>
      <c r="K53" s="43"/>
    </row>
    <row r="54" spans="1:11" ht="15">
      <c r="A54" s="43"/>
      <c r="B54" s="43" t="s">
        <v>530</v>
      </c>
      <c r="C54" s="64">
        <v>31411.892</v>
      </c>
      <c r="D54" s="65">
        <v>0</v>
      </c>
      <c r="E54" s="54">
        <f t="shared" si="0"/>
        <v>0</v>
      </c>
      <c r="F54" s="43" t="s">
        <v>531</v>
      </c>
      <c r="G54" s="43"/>
      <c r="H54" s="43"/>
      <c r="I54" s="43"/>
      <c r="J54" s="43"/>
      <c r="K54" s="43"/>
    </row>
    <row r="55" spans="1:11" ht="15">
      <c r="A55" s="43"/>
      <c r="B55" s="43" t="s">
        <v>558</v>
      </c>
      <c r="C55" s="64">
        <v>54778</v>
      </c>
      <c r="D55" s="65">
        <v>0</v>
      </c>
      <c r="E55" s="54">
        <f t="shared" si="0"/>
        <v>0</v>
      </c>
      <c r="F55" s="43" t="s">
        <v>559</v>
      </c>
      <c r="G55" s="43"/>
      <c r="H55" s="43"/>
      <c r="I55" s="43"/>
      <c r="J55" s="43"/>
      <c r="K55" s="43"/>
    </row>
    <row r="56" spans="1:11" ht="15">
      <c r="A56" s="43"/>
      <c r="B56" s="50" t="s">
        <v>317</v>
      </c>
      <c r="C56" s="56"/>
      <c r="D56" s="60"/>
      <c r="E56" s="56">
        <f>SUM(E49:E55)</f>
        <v>49203.034975999995</v>
      </c>
      <c r="F56" s="43"/>
      <c r="G56" s="43"/>
      <c r="H56" s="43"/>
      <c r="I56" s="43"/>
      <c r="J56" s="43"/>
      <c r="K56" s="43"/>
    </row>
    <row r="57" spans="1:11" ht="15">
      <c r="A57" s="43"/>
      <c r="B57" s="50" t="s">
        <v>494</v>
      </c>
      <c r="C57" s="56"/>
      <c r="D57" s="60"/>
      <c r="E57" s="56">
        <f>E56-E47</f>
        <v>-1186614.6815895401</v>
      </c>
      <c r="F57" s="43"/>
      <c r="G57" s="43"/>
      <c r="H57" s="43"/>
      <c r="I57" s="43"/>
      <c r="J57" s="43"/>
      <c r="K57" s="43"/>
    </row>
    <row r="58" spans="1:11" ht="15">
      <c r="A58" s="43"/>
      <c r="B58" s="43"/>
      <c r="C58" s="54"/>
      <c r="D58" s="55"/>
      <c r="E58" s="54"/>
      <c r="F58" s="43"/>
      <c r="G58" s="43"/>
      <c r="H58" s="43"/>
      <c r="I58" s="43"/>
      <c r="J58" s="43"/>
      <c r="K58" s="43"/>
    </row>
    <row r="59" spans="1:11" ht="15">
      <c r="A59" s="43"/>
      <c r="B59" s="43"/>
      <c r="C59" s="54"/>
      <c r="D59" s="55"/>
      <c r="E59" s="54"/>
      <c r="F59" s="43"/>
      <c r="G59" s="43"/>
      <c r="H59" s="43"/>
      <c r="I59" s="43"/>
      <c r="J59" s="43"/>
      <c r="K59" s="43"/>
    </row>
    <row r="60" spans="1:11" ht="15">
      <c r="A60" s="43"/>
      <c r="B60" s="46" t="s">
        <v>532</v>
      </c>
      <c r="C60" s="57"/>
      <c r="D60" s="61"/>
      <c r="E60" s="57"/>
      <c r="F60" s="46"/>
      <c r="G60" s="43"/>
      <c r="H60" s="43"/>
      <c r="I60" s="43"/>
      <c r="J60" s="43"/>
      <c r="K60" s="43"/>
    </row>
    <row r="61" spans="1:11" ht="15">
      <c r="A61" s="43"/>
      <c r="B61" s="47" t="s">
        <v>142</v>
      </c>
      <c r="C61" s="58" t="s">
        <v>512</v>
      </c>
      <c r="D61" s="62" t="s">
        <v>513</v>
      </c>
      <c r="E61" s="58" t="s">
        <v>514</v>
      </c>
      <c r="F61" s="49" t="s">
        <v>515</v>
      </c>
      <c r="G61" s="43"/>
      <c r="H61" s="43"/>
      <c r="I61" s="43"/>
      <c r="J61" s="43"/>
      <c r="K61" s="43"/>
    </row>
    <row r="62" spans="1:11" ht="15">
      <c r="A62" s="43"/>
      <c r="B62" s="43" t="s">
        <v>320</v>
      </c>
      <c r="C62" s="68">
        <f>과거재무제표!F50</f>
        <v>1626402.257</v>
      </c>
      <c r="D62" s="67">
        <v>1</v>
      </c>
      <c r="E62" s="54">
        <f t="shared" ref="E62:E67" si="1">C62*D62</f>
        <v>1626402.257</v>
      </c>
      <c r="F62" s="43" t="s">
        <v>533</v>
      </c>
      <c r="G62" s="43"/>
      <c r="H62" s="43"/>
      <c r="I62" s="43"/>
      <c r="J62" s="43"/>
      <c r="K62" s="43"/>
    </row>
    <row r="63" spans="1:11" ht="15">
      <c r="A63" s="43"/>
      <c r="B63" s="43" t="s">
        <v>322</v>
      </c>
      <c r="C63" s="68">
        <f>과거재무제표!F48-과거재무제표!F49</f>
        <v>66813.167087999987</v>
      </c>
      <c r="D63" s="67">
        <v>1</v>
      </c>
      <c r="E63" s="54">
        <f t="shared" si="1"/>
        <v>66813.167087999987</v>
      </c>
      <c r="F63" s="43" t="s">
        <v>534</v>
      </c>
      <c r="G63" s="43"/>
      <c r="H63" s="43"/>
      <c r="I63" s="43"/>
      <c r="J63" s="43"/>
      <c r="K63" s="43"/>
    </row>
    <row r="64" spans="1:11" ht="15">
      <c r="A64" s="43"/>
      <c r="B64" s="43" t="s">
        <v>324</v>
      </c>
      <c r="C64" s="68">
        <f>과거재무제표!F46</f>
        <v>103263</v>
      </c>
      <c r="D64" s="67">
        <v>1</v>
      </c>
      <c r="E64" s="54">
        <f t="shared" si="1"/>
        <v>103263</v>
      </c>
      <c r="F64" s="43" t="s">
        <v>535</v>
      </c>
      <c r="G64" s="43"/>
      <c r="H64" s="43"/>
      <c r="I64" s="43"/>
      <c r="J64" s="43"/>
      <c r="K64" s="43"/>
    </row>
    <row r="65" spans="1:11" ht="15">
      <c r="A65" s="43"/>
      <c r="B65" s="43" t="s">
        <v>326</v>
      </c>
      <c r="C65" s="68">
        <f>과거재무제표!F51</f>
        <v>5020.5963590000001</v>
      </c>
      <c r="D65" s="67">
        <v>1</v>
      </c>
      <c r="E65" s="54">
        <f t="shared" si="1"/>
        <v>5020.5963590000001</v>
      </c>
      <c r="F65" s="43" t="s">
        <v>536</v>
      </c>
      <c r="G65" s="43"/>
      <c r="H65" s="43"/>
      <c r="I65" s="43"/>
      <c r="J65" s="43"/>
      <c r="K65" s="43"/>
    </row>
    <row r="66" spans="1:11" ht="15">
      <c r="A66" s="43"/>
      <c r="B66" s="43" t="s">
        <v>458</v>
      </c>
      <c r="C66" s="68">
        <v>7871.8869999999997</v>
      </c>
      <c r="D66" s="67">
        <v>0</v>
      </c>
      <c r="E66" s="54">
        <f t="shared" si="1"/>
        <v>0</v>
      </c>
      <c r="F66" s="43" t="s">
        <v>537</v>
      </c>
      <c r="G66" s="43"/>
      <c r="H66" s="43"/>
      <c r="I66" s="43"/>
      <c r="J66" s="43"/>
      <c r="K66" s="43"/>
    </row>
    <row r="67" spans="1:11" ht="15">
      <c r="A67" s="43"/>
      <c r="B67" s="43" t="s">
        <v>330</v>
      </c>
      <c r="C67" s="64">
        <v>0</v>
      </c>
      <c r="D67" s="65">
        <v>1</v>
      </c>
      <c r="E67" s="54">
        <f t="shared" si="1"/>
        <v>0</v>
      </c>
      <c r="F67" s="43" t="s">
        <v>538</v>
      </c>
      <c r="G67" s="43"/>
      <c r="H67" s="43"/>
      <c r="I67" s="43"/>
      <c r="J67" s="43"/>
      <c r="K67" s="43"/>
    </row>
    <row r="68" spans="1:11" ht="15">
      <c r="A68" s="43"/>
      <c r="B68" s="50" t="s">
        <v>539</v>
      </c>
      <c r="C68" s="56"/>
      <c r="D68" s="60"/>
      <c r="E68" s="56">
        <f>SUM(E62:E67)</f>
        <v>1801499.0204469999</v>
      </c>
      <c r="F68" s="43"/>
      <c r="G68" s="43"/>
      <c r="H68" s="43"/>
      <c r="I68" s="43"/>
      <c r="J68" s="43"/>
      <c r="K68" s="43"/>
    </row>
    <row r="69" spans="1:11" ht="15">
      <c r="A69" s="43"/>
      <c r="B69" s="50" t="s">
        <v>54</v>
      </c>
      <c r="C69" s="69">
        <f>과거재무제표!F59</f>
        <v>103543.70338799999</v>
      </c>
      <c r="D69" s="70">
        <v>1</v>
      </c>
      <c r="E69" s="56">
        <f>C69*D69</f>
        <v>103543.70338799999</v>
      </c>
      <c r="F69" s="43"/>
      <c r="G69" s="43"/>
      <c r="H69" s="43"/>
      <c r="I69" s="43"/>
      <c r="J69" s="43"/>
      <c r="K69" s="43"/>
    </row>
    <row r="70" spans="1:11" ht="15">
      <c r="A70" s="43"/>
      <c r="B70" s="50" t="s">
        <v>334</v>
      </c>
      <c r="C70" s="56"/>
      <c r="D70" s="50"/>
      <c r="E70" s="56">
        <f>E37</f>
        <v>0</v>
      </c>
      <c r="F70" s="43"/>
      <c r="G70" s="43"/>
      <c r="H70" s="43"/>
      <c r="I70" s="43"/>
      <c r="J70" s="43"/>
      <c r="K70" s="43"/>
    </row>
    <row r="71" spans="1:11" ht="15">
      <c r="A71" s="43"/>
      <c r="B71" s="51" t="s">
        <v>338</v>
      </c>
      <c r="C71" s="59"/>
      <c r="D71" s="51"/>
      <c r="E71" s="59">
        <f>-E57+E68-E69+E70</f>
        <v>2884569.9986485401</v>
      </c>
      <c r="F71" s="43"/>
      <c r="G71" s="43"/>
      <c r="H71" s="43"/>
      <c r="I71" s="43"/>
      <c r="J71" s="43"/>
      <c r="K71" s="43"/>
    </row>
    <row r="72" spans="1:11" ht="15">
      <c r="A72" s="43"/>
      <c r="B72" s="43"/>
      <c r="C72" s="43"/>
      <c r="D72" s="43"/>
      <c r="E72" s="43"/>
      <c r="F72" s="43"/>
      <c r="G72" s="43"/>
      <c r="H72" s="43"/>
      <c r="I72" s="43"/>
      <c r="J72" s="43"/>
      <c r="K72" s="43"/>
    </row>
  </sheetData>
  <phoneticPr fontId="13" type="noConversion"/>
  <dataValidations count="1">
    <dataValidation type="decimal" sqref="E36" xr:uid="{00000000-0002-0000-0E00-000000000000}">
      <formula1>0</formula1>
      <formula2>1</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개요</vt:lpstr>
      <vt:lpstr>요약</vt:lpstr>
      <vt:lpstr>가정</vt:lpstr>
      <vt:lpstr>과거재무제표</vt:lpstr>
      <vt:lpstr>매출액추정</vt:lpstr>
      <vt:lpstr>영업실적추정</vt:lpstr>
      <vt:lpstr>NWC</vt:lpstr>
      <vt:lpstr>Capex_D&amp;A</vt:lpstr>
      <vt:lpstr>WACC</vt:lpstr>
      <vt:lpstr>DCF</vt:lpstr>
      <vt:lpstr>기업가치_지분가치</vt:lpstr>
      <vt:lpstr>민감도분석</vt:lpstr>
      <vt:lpstr>검증</vt:lpstr>
      <vt:lpstr>출처</vt:lpstr>
      <vt:lpstr>FDD 조정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연한준</cp:lastModifiedBy>
  <dcterms:modified xsi:type="dcterms:W3CDTF">2026-09-20T06:12:09Z</dcterms:modified>
</cp:coreProperties>
</file>